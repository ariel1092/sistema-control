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 tabRatio="816" firstSheet="10" activeTab="10"/>
  </bookViews>
  <sheets>
    <sheet name="ENERO" sheetId="15" state="hidden" r:id="rId1"/>
    <sheet name="FEBRERO" sheetId="34" state="hidden" r:id="rId2"/>
    <sheet name="MARZO" sheetId="35" state="hidden" r:id="rId3"/>
    <sheet name="ABRIL" sheetId="36" state="hidden" r:id="rId4"/>
    <sheet name="MAYO" sheetId="37" state="hidden" r:id="rId5"/>
    <sheet name="JUNIO" sheetId="38" state="hidden" r:id="rId6"/>
    <sheet name="JULIO" sheetId="30" state="hidden" r:id="rId7"/>
    <sheet name="AGOSTO" sheetId="31" state="hidden" r:id="rId8"/>
    <sheet name="SEPTIEMBRE" sheetId="32" state="hidden" r:id="rId9"/>
    <sheet name="OCTUBRE" sheetId="29" state="hidden" r:id="rId10"/>
    <sheet name="NOVIEMBRE" sheetId="28" r:id="rId11"/>
    <sheet name="DICIEMBRE" sheetId="33" r:id="rId12"/>
    <sheet name="RES ANUAL" sheetId="27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<sst xmlns="http://schemas.openxmlformats.org/spreadsheetml/2006/main" count="1594" uniqueCount="220">
  <si>
    <t>TARJETA - MP</t>
  </si>
  <si>
    <t>GASTOS</t>
  </si>
  <si>
    <t>CAJA</t>
  </si>
  <si>
    <t>RESUMEN MENSUAL</t>
  </si>
  <si>
    <t>fullmix</t>
  </si>
  <si>
    <t>abc</t>
  </si>
  <si>
    <t>fc</t>
  </si>
  <si>
    <t>lg</t>
  </si>
  <si>
    <t>angaco</t>
  </si>
  <si>
    <t>EFECTIVO</t>
  </si>
  <si>
    <t>lon</t>
  </si>
  <si>
    <t>frag</t>
  </si>
  <si>
    <t>braian</t>
  </si>
  <si>
    <t>reposer</t>
  </si>
  <si>
    <t>enf</t>
  </si>
  <si>
    <t>cat</t>
  </si>
  <si>
    <t>ansilta</t>
  </si>
  <si>
    <t>TARJETA</t>
  </si>
  <si>
    <t>fad</t>
  </si>
  <si>
    <t>santi</t>
  </si>
  <si>
    <t>torric</t>
  </si>
  <si>
    <t>calculador</t>
  </si>
  <si>
    <t>fadep</t>
  </si>
  <si>
    <t>irimo</t>
  </si>
  <si>
    <t>bm</t>
  </si>
  <si>
    <t>beber</t>
  </si>
  <si>
    <t>sekulin</t>
  </si>
  <si>
    <t>luz</t>
  </si>
  <si>
    <t>enfer</t>
  </si>
  <si>
    <t>reposera</t>
  </si>
  <si>
    <t>sm</t>
  </si>
  <si>
    <t>flete</t>
  </si>
  <si>
    <t>monotrib</t>
  </si>
  <si>
    <t>VENTAS</t>
  </si>
  <si>
    <t>arena</t>
  </si>
  <si>
    <t>eichler</t>
  </si>
  <si>
    <t>SALDO</t>
  </si>
  <si>
    <t>ne</t>
  </si>
  <si>
    <t>lonar</t>
  </si>
  <si>
    <t>dd</t>
  </si>
  <si>
    <t>PROM DIA</t>
  </si>
  <si>
    <t>torres</t>
  </si>
  <si>
    <t>andes</t>
  </si>
  <si>
    <t>cemento</t>
  </si>
  <si>
    <t>acido</t>
  </si>
  <si>
    <t>internet</t>
  </si>
  <si>
    <t>bolsas</t>
  </si>
  <si>
    <t>parrilla</t>
  </si>
  <si>
    <t>hector</t>
  </si>
  <si>
    <t>lumager</t>
  </si>
  <si>
    <t>ova</t>
  </si>
  <si>
    <t>fiambre</t>
  </si>
  <si>
    <t>store</t>
  </si>
  <si>
    <t>apu</t>
  </si>
  <si>
    <t>merc</t>
  </si>
  <si>
    <t>pollo</t>
  </si>
  <si>
    <t>alumetal</t>
  </si>
  <si>
    <t>CHEQ</t>
  </si>
  <si>
    <t>baku</t>
  </si>
  <si>
    <t>castro</t>
  </si>
  <si>
    <t>torrico</t>
  </si>
  <si>
    <t>dist arg</t>
  </si>
  <si>
    <t>queso</t>
  </si>
  <si>
    <t>distr</t>
  </si>
  <si>
    <t>formar</t>
  </si>
  <si>
    <t>afip</t>
  </si>
  <si>
    <t>cuca</t>
  </si>
  <si>
    <t>cuyo</t>
  </si>
  <si>
    <t>luara</t>
  </si>
  <si>
    <t>limp</t>
  </si>
  <si>
    <t>and</t>
  </si>
  <si>
    <t>fragatap</t>
  </si>
  <si>
    <t>la</t>
  </si>
  <si>
    <t>sant</t>
  </si>
  <si>
    <t>clav</t>
  </si>
  <si>
    <t>inter</t>
  </si>
  <si>
    <t>tierra</t>
  </si>
  <si>
    <t>guant</t>
  </si>
  <si>
    <t>emp</t>
  </si>
  <si>
    <t>conserva</t>
  </si>
  <si>
    <t>eich</t>
  </si>
  <si>
    <t>guante</t>
  </si>
  <si>
    <t>flet</t>
  </si>
  <si>
    <t xml:space="preserve">n e </t>
  </si>
  <si>
    <t>los and</t>
  </si>
  <si>
    <t>distarg</t>
  </si>
  <si>
    <t>acid</t>
  </si>
  <si>
    <t>fsj</t>
  </si>
  <si>
    <t>limpieza</t>
  </si>
  <si>
    <t>angac</t>
  </si>
  <si>
    <t>BMF</t>
  </si>
  <si>
    <t>CAT</t>
  </si>
  <si>
    <t>bolsa</t>
  </si>
  <si>
    <t>celular</t>
  </si>
  <si>
    <t>CAT.</t>
  </si>
  <si>
    <t>LUZ</t>
  </si>
  <si>
    <t>INTERN</t>
  </si>
  <si>
    <t>AFIP</t>
  </si>
  <si>
    <t>alumet</t>
  </si>
  <si>
    <t>art</t>
  </si>
  <si>
    <t>poly</t>
  </si>
  <si>
    <t>ans</t>
  </si>
  <si>
    <t>laura</t>
  </si>
  <si>
    <t>da</t>
  </si>
  <si>
    <t>cheque 3</t>
  </si>
  <si>
    <t>osse</t>
  </si>
  <si>
    <t>varios</t>
  </si>
  <si>
    <t>intrnet</t>
  </si>
  <si>
    <t>BRAIAN</t>
  </si>
  <si>
    <t>skulin</t>
  </si>
  <si>
    <t>ACID</t>
  </si>
  <si>
    <t>TP</t>
  </si>
  <si>
    <t>cabral</t>
  </si>
  <si>
    <t>FAZ</t>
  </si>
  <si>
    <t>verdura</t>
  </si>
  <si>
    <t>santy</t>
  </si>
  <si>
    <t>duris</t>
  </si>
  <si>
    <t>bandeja</t>
  </si>
  <si>
    <t>guantes</t>
  </si>
  <si>
    <t>librería</t>
  </si>
  <si>
    <t>bm fer</t>
  </si>
  <si>
    <t>luxom</t>
  </si>
  <si>
    <t>l</t>
  </si>
  <si>
    <t>bmfer</t>
  </si>
  <si>
    <t>gb</t>
  </si>
  <si>
    <t>sek</t>
  </si>
  <si>
    <t>tubos</t>
  </si>
  <si>
    <t>palitas</t>
  </si>
  <si>
    <t>mbfer</t>
  </si>
  <si>
    <t>faz</t>
  </si>
  <si>
    <t>salomon</t>
  </si>
  <si>
    <t>madera</t>
  </si>
  <si>
    <t>tablas</t>
  </si>
  <si>
    <t>chapa</t>
  </si>
  <si>
    <t>cheque</t>
  </si>
  <si>
    <t>conservad</t>
  </si>
  <si>
    <t>varoma</t>
  </si>
  <si>
    <t>sef</t>
  </si>
  <si>
    <t>tda</t>
  </si>
  <si>
    <t>DANIEL</t>
  </si>
  <si>
    <t>fadepa</t>
  </si>
  <si>
    <t>EICH</t>
  </si>
  <si>
    <t>fiamb</t>
  </si>
  <si>
    <t>cordoba</t>
  </si>
  <si>
    <t>foco</t>
  </si>
  <si>
    <t>POLY</t>
  </si>
  <si>
    <t>lumag</t>
  </si>
  <si>
    <t>ferret</t>
  </si>
  <si>
    <t>alimento</t>
  </si>
  <si>
    <t>LUXOM</t>
  </si>
  <si>
    <t>ALUMETAL</t>
  </si>
  <si>
    <t>luma</t>
  </si>
  <si>
    <t>daniel</t>
  </si>
  <si>
    <t>lum</t>
  </si>
  <si>
    <t>alum</t>
  </si>
  <si>
    <t>acermat</t>
  </si>
  <si>
    <t>ang</t>
  </si>
  <si>
    <t>vario</t>
  </si>
  <si>
    <t>brian</t>
  </si>
  <si>
    <t>MERC</t>
  </si>
  <si>
    <t>papel</t>
  </si>
  <si>
    <t>flt</t>
  </si>
  <si>
    <t>ABC</t>
  </si>
  <si>
    <t>canill</t>
  </si>
  <si>
    <t>APU</t>
  </si>
  <si>
    <t xml:space="preserve">ne </t>
  </si>
  <si>
    <t>cargador</t>
  </si>
  <si>
    <t>eic</t>
  </si>
  <si>
    <t>dlet</t>
  </si>
  <si>
    <t>dist</t>
  </si>
  <si>
    <t>encended</t>
  </si>
  <si>
    <t>TORRES</t>
  </si>
  <si>
    <t>BAKU</t>
  </si>
  <si>
    <t>intern</t>
  </si>
  <si>
    <t>chato</t>
  </si>
  <si>
    <t>ALUM</t>
  </si>
  <si>
    <t>c a t</t>
  </si>
  <si>
    <t>chap</t>
  </si>
  <si>
    <t>ANSIL</t>
  </si>
  <si>
    <t>martin</t>
  </si>
  <si>
    <t>salom</t>
  </si>
  <si>
    <t>fenix</t>
  </si>
  <si>
    <t>gaston</t>
  </si>
  <si>
    <t>ant tda</t>
  </si>
  <si>
    <t>FRAGT</t>
  </si>
  <si>
    <t>d arg</t>
  </si>
  <si>
    <t>FRAG</t>
  </si>
  <si>
    <t>SEK</t>
  </si>
  <si>
    <t>BMFER</t>
  </si>
  <si>
    <t>monot</t>
  </si>
  <si>
    <t>puntotec</t>
  </si>
  <si>
    <t xml:space="preserve">parrilla </t>
  </si>
  <si>
    <t>LA</t>
  </si>
  <si>
    <t>puntecno</t>
  </si>
  <si>
    <t>punto</t>
  </si>
  <si>
    <t>punto tecno</t>
  </si>
  <si>
    <t>fuen</t>
  </si>
  <si>
    <t>CEMENTO</t>
  </si>
  <si>
    <t>ARENA</t>
  </si>
  <si>
    <t>tarjetita</t>
  </si>
  <si>
    <t>LUMA</t>
  </si>
  <si>
    <t>n e</t>
  </si>
  <si>
    <t>veroma</t>
  </si>
  <si>
    <t>cable</t>
  </si>
  <si>
    <t>fadeo</t>
  </si>
  <si>
    <t>disapla</t>
  </si>
  <si>
    <t>holcim</t>
  </si>
  <si>
    <t>mediasom</t>
  </si>
  <si>
    <t>LONAR</t>
  </si>
  <si>
    <t>TORRICO</t>
  </si>
  <si>
    <t>remera</t>
  </si>
  <si>
    <t>DD</t>
  </si>
  <si>
    <t>protec</t>
  </si>
  <si>
    <t>oscar</t>
  </si>
  <si>
    <t>mang</t>
  </si>
  <si>
    <t>edect</t>
  </si>
  <si>
    <t>moequit</t>
  </si>
  <si>
    <t>alcohol</t>
  </si>
  <si>
    <t>fley</t>
  </si>
  <si>
    <t>RESUMEN 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</si>
</sst>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176" formatCode="_ * #,##0.00_ ;_ * \-#,##0.00_ ;_ * &quot;-&quot;??_ ;_ @_ "/>
    <numFmt numFmtId="177" formatCode="_ &quot;$&quot;\ * #,##0.00_ ;_ &quot;$&quot;\ * \-#,##0.00_ ;_ &quot;$&quot;\ * &quot;-&quot;??_ ;_ @_ "/>
    <numFmt numFmtId="178" formatCode="_ * #,##0_ ;_ * \-#,##0_ ;_ * &quot;-&quot;_ ;_ @_ "/>
    <numFmt numFmtId="179" formatCode="_-[$$-2C0A]\ * #,##0_-;\-[$$-2C0A]\ * #,##0_-;_-[$$-2C0A]\ * &quot;-&quot;??_-;_-@_-"/>
    <numFmt numFmtId="180" formatCode="_ &quot;$&quot;\ * #,##0_ ;_ &quot;$&quot;\ * \-#,##0_ ;_ &quot;$&quot;\ * &quot;-&quot;??_ ;_ @_ "/>
    <numFmt numFmtId="181" formatCode="_-[$$-2C0A]\ * #,##0.00000000_-;\-[$$-2C0A]\ * #,##0.00000000_-;_-[$$-2C0A]\ * &quot;-&quot;??_-;_-@_-"/>
  </numFmts>
  <fonts count="31">
    <font>
      <sz val="11"/>
      <color theme="1"/>
      <name val="Calibri"/>
      <charset val="134"/>
      <scheme val="minor"/>
    </font>
    <font>
      <b/>
      <sz val="16"/>
      <color theme="0"/>
      <name val="Arial"/>
      <charset val="134"/>
    </font>
    <font>
      <b/>
      <sz val="14"/>
      <color theme="0"/>
      <name val="Arial"/>
      <charset val="134"/>
    </font>
    <font>
      <b/>
      <sz val="18"/>
      <color theme="1"/>
      <name val="Arial"/>
      <charset val="134"/>
    </font>
    <font>
      <b/>
      <sz val="14"/>
      <color theme="1"/>
      <name val="Arial"/>
      <charset val="134"/>
    </font>
    <font>
      <b/>
      <sz val="11"/>
      <name val="Arial"/>
      <charset val="134"/>
    </font>
    <font>
      <b/>
      <sz val="11"/>
      <color theme="1"/>
      <name val="Arial"/>
      <charset val="134"/>
    </font>
    <font>
      <b/>
      <sz val="18"/>
      <color theme="0"/>
      <name val="Arial"/>
      <charset val="134"/>
    </font>
    <font>
      <b/>
      <sz val="11"/>
      <color theme="0"/>
      <name val="Arial"/>
      <charset val="134"/>
    </font>
    <font>
      <b/>
      <sz val="10"/>
      <name val="Arial"/>
      <charset val="134"/>
    </font>
    <font>
      <b/>
      <sz val="12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9" borderId="2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9" fillId="0" borderId="2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30" applyNumberFormat="0" applyAlignment="0" applyProtection="0">
      <alignment vertical="center"/>
    </xf>
    <xf numFmtId="0" fontId="21" fillId="11" borderId="31" applyNumberFormat="0" applyAlignment="0" applyProtection="0">
      <alignment vertical="center"/>
    </xf>
    <xf numFmtId="0" fontId="22" fillId="11" borderId="30" applyNumberFormat="0" applyAlignment="0" applyProtection="0">
      <alignment vertical="center"/>
    </xf>
    <xf numFmtId="0" fontId="23" fillId="12" borderId="32" applyNumberFormat="0" applyAlignment="0" applyProtection="0">
      <alignment vertical="center"/>
    </xf>
    <xf numFmtId="0" fontId="24" fillId="0" borderId="33" applyNumberFormat="0" applyFill="0" applyAlignment="0" applyProtection="0">
      <alignment vertical="center"/>
    </xf>
    <xf numFmtId="0" fontId="25" fillId="0" borderId="34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</cellStyleXfs>
  <cellXfs count="10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79" fontId="3" fillId="0" borderId="1" xfId="0" applyNumberFormat="1" applyFont="1" applyBorder="1" applyAlignment="1">
      <alignment horizontal="center" vertical="center"/>
    </xf>
    <xf numFmtId="179" fontId="0" fillId="0" borderId="0" xfId="0" applyNumberFormat="1"/>
    <xf numFmtId="0" fontId="4" fillId="3" borderId="1" xfId="0" applyFont="1" applyFill="1" applyBorder="1" applyAlignment="1">
      <alignment horizontal="left" vertical="center"/>
    </xf>
    <xf numFmtId="17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79" fontId="3" fillId="4" borderId="1" xfId="0" applyNumberFormat="1" applyFont="1" applyFill="1" applyBorder="1" applyAlignment="1">
      <alignment horizontal="center"/>
    </xf>
    <xf numFmtId="179" fontId="5" fillId="5" borderId="1" xfId="2" applyNumberFormat="1" applyFont="1" applyFill="1" applyBorder="1"/>
    <xf numFmtId="179" fontId="5" fillId="5" borderId="1" xfId="0" applyNumberFormat="1" applyFont="1" applyFill="1" applyBorder="1" applyAlignment="1"/>
    <xf numFmtId="0" fontId="6" fillId="6" borderId="1" xfId="0" applyFont="1" applyFill="1" applyBorder="1"/>
    <xf numFmtId="179" fontId="5" fillId="5" borderId="1" xfId="2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/>
    </xf>
    <xf numFmtId="179" fontId="6" fillId="6" borderId="1" xfId="0" applyNumberFormat="1" applyFont="1" applyFill="1" applyBorder="1"/>
    <xf numFmtId="179" fontId="6" fillId="0" borderId="1" xfId="0" applyNumberFormat="1" applyFont="1" applyBorder="1"/>
    <xf numFmtId="179" fontId="6" fillId="6" borderId="4" xfId="0" applyNumberFormat="1" applyFont="1" applyFill="1" applyBorder="1"/>
    <xf numFmtId="0" fontId="6" fillId="0" borderId="7" xfId="0" applyFont="1" applyBorder="1" applyAlignment="1">
      <alignment horizontal="center" vertical="center"/>
    </xf>
    <xf numFmtId="177" fontId="6" fillId="0" borderId="7" xfId="2" applyFont="1" applyBorder="1" applyAlignment="1">
      <alignment horizontal="center" vertical="center"/>
    </xf>
    <xf numFmtId="0" fontId="6" fillId="0" borderId="0" xfId="0" applyFont="1"/>
    <xf numFmtId="0" fontId="6" fillId="0" borderId="8" xfId="0" applyFont="1" applyBorder="1" applyAlignment="1">
      <alignment horizontal="center" vertical="center"/>
    </xf>
    <xf numFmtId="177" fontId="6" fillId="0" borderId="8" xfId="2" applyFont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/>
    </xf>
    <xf numFmtId="177" fontId="6" fillId="8" borderId="1" xfId="2" applyFont="1" applyFill="1" applyBorder="1"/>
    <xf numFmtId="177" fontId="6" fillId="0" borderId="0" xfId="0" applyNumberFormat="1" applyFont="1"/>
    <xf numFmtId="0" fontId="6" fillId="0" borderId="1" xfId="0" applyFont="1" applyBorder="1"/>
    <xf numFmtId="180" fontId="6" fillId="0" borderId="1" xfId="0" applyNumberFormat="1" applyFont="1" applyBorder="1"/>
    <xf numFmtId="179" fontId="6" fillId="0" borderId="0" xfId="0" applyNumberFormat="1" applyFont="1"/>
    <xf numFmtId="181" fontId="0" fillId="0" borderId="0" xfId="0" applyNumberFormat="1"/>
    <xf numFmtId="181" fontId="0" fillId="5" borderId="0" xfId="0" applyNumberFormat="1" applyFill="1"/>
    <xf numFmtId="0" fontId="1" fillId="2" borderId="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4" fillId="4" borderId="9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179" fontId="3" fillId="0" borderId="5" xfId="0" applyNumberFormat="1" applyFont="1" applyBorder="1" applyAlignment="1">
      <alignment horizontal="center" vertical="center"/>
    </xf>
    <xf numFmtId="179" fontId="3" fillId="0" borderId="6" xfId="0" applyNumberFormat="1" applyFont="1" applyBorder="1" applyAlignment="1">
      <alignment horizontal="center" vertical="center"/>
    </xf>
    <xf numFmtId="0" fontId="2" fillId="2" borderId="12" xfId="0" applyFont="1" applyFill="1" applyBorder="1" applyAlignment="1">
      <alignment horizontal="left" vertical="center"/>
    </xf>
    <xf numFmtId="179" fontId="3" fillId="0" borderId="9" xfId="0" applyNumberFormat="1" applyFont="1" applyBorder="1" applyAlignment="1">
      <alignment horizontal="center" vertical="center"/>
    </xf>
    <xf numFmtId="179" fontId="3" fillId="0" borderId="12" xfId="0" applyNumberFormat="1" applyFont="1" applyBorder="1" applyAlignment="1">
      <alignment horizontal="center" vertical="center"/>
    </xf>
    <xf numFmtId="0" fontId="4" fillId="3" borderId="6" xfId="0" applyFont="1" applyFill="1" applyBorder="1" applyAlignment="1">
      <alignment horizontal="left" vertical="center"/>
    </xf>
    <xf numFmtId="179" fontId="3" fillId="3" borderId="5" xfId="0" applyNumberFormat="1" applyFont="1" applyFill="1" applyBorder="1" applyAlignment="1">
      <alignment horizontal="center"/>
    </xf>
    <xf numFmtId="179" fontId="3" fillId="3" borderId="6" xfId="0" applyNumberFormat="1" applyFont="1" applyFill="1" applyBorder="1" applyAlignment="1">
      <alignment horizontal="center"/>
    </xf>
    <xf numFmtId="0" fontId="4" fillId="3" borderId="12" xfId="0" applyFont="1" applyFill="1" applyBorder="1" applyAlignment="1">
      <alignment horizontal="left" vertical="center"/>
    </xf>
    <xf numFmtId="179" fontId="3" fillId="3" borderId="9" xfId="0" applyNumberFormat="1" applyFont="1" applyFill="1" applyBorder="1" applyAlignment="1">
      <alignment horizontal="center"/>
    </xf>
    <xf numFmtId="179" fontId="3" fillId="3" borderId="12" xfId="0" applyNumberFormat="1" applyFont="1" applyFill="1" applyBorder="1" applyAlignment="1">
      <alignment horizontal="center"/>
    </xf>
    <xf numFmtId="0" fontId="4" fillId="4" borderId="6" xfId="0" applyFont="1" applyFill="1" applyBorder="1" applyAlignment="1">
      <alignment horizontal="left" vertical="center"/>
    </xf>
    <xf numFmtId="179" fontId="3" fillId="4" borderId="5" xfId="0" applyNumberFormat="1" applyFont="1" applyFill="1" applyBorder="1" applyAlignment="1">
      <alignment horizontal="center"/>
    </xf>
    <xf numFmtId="179" fontId="3" fillId="4" borderId="6" xfId="0" applyNumberFormat="1" applyFont="1" applyFill="1" applyBorder="1" applyAlignment="1">
      <alignment horizontal="center"/>
    </xf>
    <xf numFmtId="0" fontId="4" fillId="4" borderId="12" xfId="0" applyFont="1" applyFill="1" applyBorder="1" applyAlignment="1">
      <alignment horizontal="left" vertical="center"/>
    </xf>
    <xf numFmtId="179" fontId="3" fillId="4" borderId="9" xfId="0" applyNumberFormat="1" applyFont="1" applyFill="1" applyBorder="1" applyAlignment="1">
      <alignment horizontal="center"/>
    </xf>
    <xf numFmtId="179" fontId="3" fillId="4" borderId="12" xfId="0" applyNumberFormat="1" applyFont="1" applyFill="1" applyBorder="1" applyAlignment="1">
      <alignment horizontal="center"/>
    </xf>
    <xf numFmtId="180" fontId="0" fillId="0" borderId="0" xfId="0" applyNumberFormat="1"/>
    <xf numFmtId="179" fontId="5" fillId="8" borderId="1" xfId="0" applyNumberFormat="1" applyFont="1" applyFill="1" applyBorder="1" applyAlignment="1"/>
    <xf numFmtId="180" fontId="6" fillId="0" borderId="7" xfId="2" applyNumberFormat="1" applyFont="1" applyBorder="1" applyAlignment="1">
      <alignment horizontal="center" vertical="center"/>
    </xf>
    <xf numFmtId="180" fontId="6" fillId="0" borderId="8" xfId="2" applyNumberFormat="1" applyFont="1" applyBorder="1" applyAlignment="1">
      <alignment horizontal="center" vertical="center"/>
    </xf>
    <xf numFmtId="180" fontId="6" fillId="8" borderId="1" xfId="2" applyNumberFormat="1" applyFont="1" applyFill="1" applyBorder="1"/>
    <xf numFmtId="180" fontId="6" fillId="0" borderId="0" xfId="0" applyNumberFormat="1" applyFont="1"/>
    <xf numFmtId="180" fontId="0" fillId="0" borderId="0" xfId="2" applyNumberFormat="1" applyFont="1"/>
    <xf numFmtId="179" fontId="5" fillId="8" borderId="13" xfId="0" applyNumberFormat="1" applyFont="1" applyFill="1" applyBorder="1" applyAlignment="1"/>
    <xf numFmtId="180" fontId="6" fillId="0" borderId="0" xfId="2" applyNumberFormat="1" applyFont="1"/>
    <xf numFmtId="179" fontId="0" fillId="8" borderId="0" xfId="0" applyNumberFormat="1" applyFill="1"/>
    <xf numFmtId="180" fontId="6" fillId="0" borderId="0" xfId="0" applyNumberFormat="1" applyFont="1" applyFill="1" applyBorder="1"/>
    <xf numFmtId="0" fontId="0" fillId="8" borderId="0" xfId="0" applyFill="1"/>
    <xf numFmtId="177" fontId="6" fillId="0" borderId="0" xfId="0" applyNumberFormat="1" applyFont="1" applyFill="1" applyBorder="1"/>
    <xf numFmtId="179" fontId="6" fillId="5" borderId="1" xfId="2" applyNumberFormat="1" applyFont="1" applyFill="1" applyBorder="1"/>
    <xf numFmtId="0" fontId="9" fillId="5" borderId="1" xfId="0" applyFont="1" applyFill="1" applyBorder="1" applyAlignment="1">
      <alignment vertical="center"/>
    </xf>
    <xf numFmtId="0" fontId="7" fillId="7" borderId="10" xfId="0" applyFont="1" applyFill="1" applyBorder="1" applyAlignment="1">
      <alignment horizontal="center" vertical="center"/>
    </xf>
    <xf numFmtId="0" fontId="6" fillId="6" borderId="2" xfId="0" applyFont="1" applyFill="1" applyBorder="1"/>
    <xf numFmtId="179" fontId="5" fillId="8" borderId="14" xfId="0" applyNumberFormat="1" applyFont="1" applyFill="1" applyBorder="1" applyAlignment="1"/>
    <xf numFmtId="179" fontId="5" fillId="8" borderId="15" xfId="0" applyNumberFormat="1" applyFont="1" applyFill="1" applyBorder="1" applyAlignment="1"/>
    <xf numFmtId="179" fontId="5" fillId="8" borderId="16" xfId="0" applyNumberFormat="1" applyFont="1" applyFill="1" applyBorder="1" applyAlignment="1"/>
    <xf numFmtId="179" fontId="5" fillId="8" borderId="17" xfId="0" applyNumberFormat="1" applyFont="1" applyFill="1" applyBorder="1" applyAlignment="1"/>
    <xf numFmtId="179" fontId="5" fillId="8" borderId="18" xfId="0" applyNumberFormat="1" applyFont="1" applyFill="1" applyBorder="1" applyAlignment="1"/>
    <xf numFmtId="179" fontId="5" fillId="8" borderId="19" xfId="0" applyNumberFormat="1" applyFont="1" applyFill="1" applyBorder="1" applyAlignment="1"/>
    <xf numFmtId="179" fontId="5" fillId="8" borderId="20" xfId="0" applyNumberFormat="1" applyFont="1" applyFill="1" applyBorder="1" applyAlignment="1"/>
    <xf numFmtId="179" fontId="5" fillId="5" borderId="21" xfId="0" applyNumberFormat="1" applyFont="1" applyFill="1" applyBorder="1" applyAlignment="1"/>
    <xf numFmtId="0" fontId="6" fillId="6" borderId="4" xfId="0" applyFont="1" applyFill="1" applyBorder="1"/>
    <xf numFmtId="0" fontId="10" fillId="5" borderId="1" xfId="0" applyFont="1" applyFill="1" applyBorder="1" applyAlignment="1">
      <alignment vertical="center"/>
    </xf>
    <xf numFmtId="179" fontId="5" fillId="8" borderId="22" xfId="0" applyNumberFormat="1" applyFont="1" applyFill="1" applyBorder="1" applyAlignment="1"/>
    <xf numFmtId="179" fontId="5" fillId="8" borderId="4" xfId="0" applyNumberFormat="1" applyFont="1" applyFill="1" applyBorder="1" applyAlignment="1"/>
    <xf numFmtId="179" fontId="5" fillId="5" borderId="23" xfId="0" applyNumberFormat="1" applyFont="1" applyFill="1" applyBorder="1" applyAlignment="1"/>
    <xf numFmtId="179" fontId="5" fillId="8" borderId="24" xfId="0" applyNumberFormat="1" applyFont="1" applyFill="1" applyBorder="1" applyAlignment="1"/>
    <xf numFmtId="179" fontId="5" fillId="8" borderId="25" xfId="0" applyNumberFormat="1" applyFont="1" applyFill="1" applyBorder="1" applyAlignment="1"/>
    <xf numFmtId="179" fontId="5" fillId="5" borderId="26" xfId="0" applyNumberFormat="1" applyFont="1" applyFill="1" applyBorder="1" applyAlignme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8"/>
  <dimension ref="A1:DA36"/>
  <sheetViews>
    <sheetView zoomScale="83" zoomScaleNormal="83" workbookViewId="0">
      <selection activeCell="BH1" sqref="BH1"/>
    </sheetView>
  </sheetViews>
  <sheetFormatPr defaultColWidth="11" defaultRowHeight="14.4"/>
  <cols>
    <col min="1" max="7" width="11.712962962963" customWidth="1"/>
    <col min="8" max="8" width="1.71296296296296" customWidth="1"/>
    <col min="9" max="12" width="11.712962962963" customWidth="1"/>
    <col min="13" max="13" width="1.71296296296296" customWidth="1"/>
    <col min="14" max="15" width="11.712962962963" customWidth="1"/>
    <col min="16" max="16" width="1.71296296296296" customWidth="1"/>
    <col min="17" max="17" width="11.712962962963" customWidth="1"/>
    <col min="18" max="18" width="16.287037037037" customWidth="1"/>
    <col min="20" max="20" width="12.4259259259259" customWidth="1"/>
    <col min="21" max="21" width="12" customWidth="1"/>
    <col min="22" max="23" width="11" customWidth="1"/>
    <col min="24" max="24" width="13" customWidth="1"/>
    <col min="25" max="25" width="13.1388888888889" customWidth="1"/>
    <col min="26" max="26" width="12.8518518518519" customWidth="1"/>
    <col min="27" max="27" width="1.71296296296296" customWidth="1"/>
    <col min="28" max="29" width="12" customWidth="1"/>
    <col min="30" max="31" width="13.712962962963" customWidth="1"/>
    <col min="32" max="32" width="1.71296296296296" customWidth="1"/>
    <col min="33" max="34" width="12" customWidth="1"/>
    <col min="35" max="35" width="1.71296296296296" customWidth="1"/>
    <col min="36" max="36" width="15.1388888888889" customWidth="1"/>
    <col min="37" max="37" width="16.287037037037" customWidth="1"/>
    <col min="39" max="45" width="11.712962962963" customWidth="1"/>
    <col min="46" max="46" width="1.71296296296296" customWidth="1"/>
    <col min="47" max="52" width="11.712962962963" customWidth="1"/>
    <col min="53" max="53" width="1.71296296296296" customWidth="1"/>
    <col min="54" max="54" width="11.712962962963" customWidth="1"/>
    <col min="55" max="55" width="13.712962962963" customWidth="1"/>
    <col min="56" max="56" width="1.71296296296296" customWidth="1"/>
    <col min="57" max="57" width="11.712962962963" customWidth="1"/>
    <col min="58" max="58" width="17.1388888888889" customWidth="1"/>
    <col min="60" max="66" width="11.712962962963" customWidth="1"/>
    <col min="67" max="67" width="1.71296296296296" customWidth="1"/>
    <col min="68" max="70" width="11.712962962963" customWidth="1"/>
    <col min="71" max="71" width="13.712962962963" customWidth="1"/>
    <col min="72" max="72" width="11.712962962963" customWidth="1"/>
    <col min="73" max="73" width="13.712962962963" customWidth="1"/>
    <col min="74" max="74" width="1.71296296296296" customWidth="1"/>
    <col min="75" max="75" width="11.712962962963" customWidth="1"/>
    <col min="76" max="76" width="13.712962962963" customWidth="1"/>
    <col min="77" max="77" width="1.71296296296296" customWidth="1"/>
    <col min="78" max="78" width="11.712962962963" customWidth="1"/>
    <col min="79" max="79" width="17.1388888888889" customWidth="1"/>
    <col min="81" max="87" width="11.712962962963" customWidth="1"/>
    <col min="88" max="88" width="1.71296296296296" customWidth="1"/>
    <col min="89" max="94" width="11.712962962963" customWidth="1"/>
    <col min="95" max="95" width="1.71296296296296" customWidth="1"/>
    <col min="96" max="97" width="11.712962962963" customWidth="1"/>
    <col min="98" max="98" width="1.71296296296296" customWidth="1"/>
    <col min="99" max="99" width="11.712962962963" customWidth="1"/>
    <col min="100" max="100" width="17.1388888888889" customWidth="1"/>
    <col min="101" max="101" width="9.42592592592593" customWidth="1"/>
    <col min="102" max="102" width="8.28703703703704" customWidth="1"/>
    <col min="103" max="103" width="7.13888888888889" customWidth="1"/>
    <col min="104" max="104" width="6.85185185185185" customWidth="1"/>
    <col min="105" max="105" width="17.5740740740741" customWidth="1"/>
  </cols>
  <sheetData>
    <row r="1" ht="15" customHeight="1" spans="1:105">
      <c r="A1" s="80">
        <v>10000</v>
      </c>
      <c r="B1" s="10">
        <v>4000</v>
      </c>
      <c r="C1" s="10">
        <v>500</v>
      </c>
      <c r="D1" s="10">
        <v>1500</v>
      </c>
      <c r="E1" s="10"/>
      <c r="F1" s="10"/>
      <c r="G1" s="10"/>
      <c r="H1" s="11"/>
      <c r="I1" s="13" t="s">
        <v>0</v>
      </c>
      <c r="J1" s="14"/>
      <c r="K1" s="14"/>
      <c r="L1" s="15"/>
      <c r="M1" s="11"/>
      <c r="N1" s="16" t="s">
        <v>1</v>
      </c>
      <c r="O1" s="17"/>
      <c r="P1" s="11"/>
      <c r="Q1" s="22" t="s">
        <v>2</v>
      </c>
      <c r="R1" s="23"/>
      <c r="S1" s="24"/>
      <c r="T1" s="10">
        <v>3000</v>
      </c>
      <c r="U1" s="10">
        <v>4000</v>
      </c>
      <c r="V1" s="10">
        <v>25000</v>
      </c>
      <c r="W1" s="10">
        <v>400</v>
      </c>
      <c r="X1" s="10">
        <v>758650</v>
      </c>
      <c r="Y1" s="10">
        <v>7000</v>
      </c>
      <c r="Z1" s="10"/>
      <c r="AA1" s="11"/>
      <c r="AB1" s="13" t="s">
        <v>0</v>
      </c>
      <c r="AC1" s="14"/>
      <c r="AD1" s="14"/>
      <c r="AE1" s="15"/>
      <c r="AF1" s="11"/>
      <c r="AG1" s="16" t="s">
        <v>1</v>
      </c>
      <c r="AH1" s="17"/>
      <c r="AI1" s="11"/>
      <c r="AJ1" s="22" t="s">
        <v>2</v>
      </c>
      <c r="AK1" s="23"/>
      <c r="AM1" s="10">
        <v>10000</v>
      </c>
      <c r="AN1" s="10">
        <v>18600</v>
      </c>
      <c r="AO1" s="10">
        <v>7500</v>
      </c>
      <c r="AP1" s="10">
        <v>12000</v>
      </c>
      <c r="AQ1" s="10">
        <v>2500</v>
      </c>
      <c r="AR1" s="10">
        <v>2000</v>
      </c>
      <c r="AS1" s="10">
        <v>24000</v>
      </c>
      <c r="AT1" s="11"/>
      <c r="AU1" s="16" t="s">
        <v>0</v>
      </c>
      <c r="AV1" s="82"/>
      <c r="AW1" s="82"/>
      <c r="AX1" s="82"/>
      <c r="AY1" s="82"/>
      <c r="AZ1" s="17"/>
      <c r="BA1" s="11"/>
      <c r="BB1" s="16" t="s">
        <v>1</v>
      </c>
      <c r="BC1" s="17"/>
      <c r="BD1" s="11"/>
      <c r="BE1" s="22" t="s">
        <v>2</v>
      </c>
      <c r="BF1" s="23"/>
      <c r="BH1" s="10">
        <v>3000</v>
      </c>
      <c r="BI1" s="10">
        <v>9500</v>
      </c>
      <c r="BJ1" s="10">
        <v>2000</v>
      </c>
      <c r="BK1" s="10">
        <v>1000</v>
      </c>
      <c r="BL1" s="10">
        <v>2000</v>
      </c>
      <c r="BM1" s="10">
        <v>398800</v>
      </c>
      <c r="BN1" s="10">
        <v>17500</v>
      </c>
      <c r="BO1" s="11"/>
      <c r="BP1" s="13" t="s">
        <v>0</v>
      </c>
      <c r="BQ1" s="14"/>
      <c r="BR1" s="14"/>
      <c r="BS1" s="14"/>
      <c r="BT1" s="14"/>
      <c r="BU1" s="15"/>
      <c r="BV1" s="11"/>
      <c r="BW1" s="16" t="s">
        <v>1</v>
      </c>
      <c r="BX1" s="17"/>
      <c r="BY1" s="11"/>
      <c r="BZ1" s="22" t="s">
        <v>2</v>
      </c>
      <c r="CA1" s="23"/>
      <c r="CC1" s="10">
        <v>8300</v>
      </c>
      <c r="CD1" s="10">
        <v>50000</v>
      </c>
      <c r="CE1" s="10">
        <v>1000</v>
      </c>
      <c r="CF1" s="10">
        <v>1500</v>
      </c>
      <c r="CG1" s="10">
        <v>27000</v>
      </c>
      <c r="CH1" s="10">
        <v>4000</v>
      </c>
      <c r="CI1" s="10"/>
      <c r="CJ1" s="11"/>
      <c r="CK1" s="13" t="s">
        <v>0</v>
      </c>
      <c r="CL1" s="14"/>
      <c r="CM1" s="14"/>
      <c r="CN1" s="14"/>
      <c r="CO1" s="14"/>
      <c r="CP1" s="15"/>
      <c r="CQ1" s="11"/>
      <c r="CR1" s="16" t="s">
        <v>1</v>
      </c>
      <c r="CS1" s="17"/>
      <c r="CT1" s="11"/>
      <c r="CU1" s="22" t="s">
        <v>2</v>
      </c>
      <c r="CV1" s="23"/>
      <c r="CX1" s="37" t="s">
        <v>3</v>
      </c>
      <c r="CY1" s="45"/>
      <c r="CZ1" s="45"/>
      <c r="DA1" s="46"/>
    </row>
    <row r="2" ht="15" customHeight="1" spans="1:105">
      <c r="A2" s="80">
        <v>4100</v>
      </c>
      <c r="B2" s="12">
        <v>4400</v>
      </c>
      <c r="C2" s="12">
        <v>800</v>
      </c>
      <c r="D2" s="12">
        <v>4600</v>
      </c>
      <c r="E2" s="12"/>
      <c r="F2" s="12"/>
      <c r="G2" s="12"/>
      <c r="H2" s="11"/>
      <c r="I2" s="68">
        <v>4400</v>
      </c>
      <c r="J2" s="68">
        <v>4000</v>
      </c>
      <c r="K2" s="68">
        <v>8000</v>
      </c>
      <c r="L2" s="68">
        <v>25000</v>
      </c>
      <c r="M2" s="11"/>
      <c r="N2" s="81" t="s">
        <v>4</v>
      </c>
      <c r="O2" s="10">
        <v>258000</v>
      </c>
      <c r="P2" s="11"/>
      <c r="Q2" s="25"/>
      <c r="R2" s="26"/>
      <c r="S2" s="24"/>
      <c r="T2" s="12">
        <v>10000</v>
      </c>
      <c r="U2" s="12">
        <v>16200</v>
      </c>
      <c r="V2" s="12">
        <v>27000</v>
      </c>
      <c r="W2" s="12">
        <v>55000</v>
      </c>
      <c r="X2" s="12">
        <v>3550</v>
      </c>
      <c r="Y2" s="12">
        <v>1500</v>
      </c>
      <c r="Z2" s="12"/>
      <c r="AA2" s="11"/>
      <c r="AB2" s="68">
        <v>872820</v>
      </c>
      <c r="AC2" s="10"/>
      <c r="AD2" s="10"/>
      <c r="AE2" s="68">
        <v>1416680</v>
      </c>
      <c r="AF2" s="11"/>
      <c r="AG2" s="81" t="s">
        <v>5</v>
      </c>
      <c r="AH2" s="10">
        <v>446300</v>
      </c>
      <c r="AI2" s="11"/>
      <c r="AJ2" s="25"/>
      <c r="AK2" s="26"/>
      <c r="AM2" s="12">
        <v>10500</v>
      </c>
      <c r="AN2" s="12">
        <v>3300</v>
      </c>
      <c r="AO2" s="12">
        <v>2600</v>
      </c>
      <c r="AP2" s="12">
        <v>33600</v>
      </c>
      <c r="AQ2" s="12">
        <v>1200</v>
      </c>
      <c r="AR2" s="12">
        <v>7000</v>
      </c>
      <c r="AS2" s="12">
        <v>1500</v>
      </c>
      <c r="AT2" s="83"/>
      <c r="AU2" s="84">
        <v>7690</v>
      </c>
      <c r="AV2" s="85">
        <v>24500</v>
      </c>
      <c r="AW2" s="89">
        <v>8000</v>
      </c>
      <c r="AX2" s="90">
        <v>5100</v>
      </c>
      <c r="AY2" s="85">
        <v>1000</v>
      </c>
      <c r="AZ2" s="91"/>
      <c r="BA2" s="92"/>
      <c r="BB2" s="93" t="s">
        <v>6</v>
      </c>
      <c r="BC2" s="10">
        <v>2589500</v>
      </c>
      <c r="BD2" s="11"/>
      <c r="BE2" s="25"/>
      <c r="BF2" s="26"/>
      <c r="BH2" s="12">
        <v>6500</v>
      </c>
      <c r="BI2" s="12">
        <v>1000</v>
      </c>
      <c r="BJ2" s="12">
        <v>2500</v>
      </c>
      <c r="BK2" s="12">
        <v>1300</v>
      </c>
      <c r="BL2" s="12">
        <v>4400</v>
      </c>
      <c r="BM2" s="12">
        <v>1000</v>
      </c>
      <c r="BN2" s="12">
        <v>2200</v>
      </c>
      <c r="BO2" s="11"/>
      <c r="BP2" s="68">
        <v>1600</v>
      </c>
      <c r="BQ2" s="68">
        <v>7970</v>
      </c>
      <c r="BR2" s="68">
        <v>11600</v>
      </c>
      <c r="BS2" s="10"/>
      <c r="BT2" s="10"/>
      <c r="BU2" s="68">
        <v>1292000</v>
      </c>
      <c r="BV2" s="11"/>
      <c r="BW2" s="18" t="s">
        <v>7</v>
      </c>
      <c r="BX2" s="10">
        <v>50900</v>
      </c>
      <c r="BY2" s="11"/>
      <c r="BZ2" s="25"/>
      <c r="CA2" s="26"/>
      <c r="CC2" s="12">
        <v>43000</v>
      </c>
      <c r="CD2" s="12">
        <v>2400</v>
      </c>
      <c r="CE2" s="12">
        <v>4000</v>
      </c>
      <c r="CF2" s="12">
        <v>39000</v>
      </c>
      <c r="CG2" s="12">
        <v>21000</v>
      </c>
      <c r="CH2" s="12">
        <v>7000</v>
      </c>
      <c r="CI2" s="12"/>
      <c r="CJ2" s="11"/>
      <c r="CK2" s="68">
        <v>31700</v>
      </c>
      <c r="CL2" s="68">
        <v>16600</v>
      </c>
      <c r="CM2" s="10"/>
      <c r="CN2" s="68">
        <v>50000</v>
      </c>
      <c r="CO2" s="68">
        <v>8000</v>
      </c>
      <c r="CP2" s="10"/>
      <c r="CQ2" s="11"/>
      <c r="CR2" s="20" t="s">
        <v>5</v>
      </c>
      <c r="CS2" s="10">
        <v>128500</v>
      </c>
      <c r="CT2" s="11"/>
      <c r="CU2" s="25"/>
      <c r="CV2" s="26"/>
      <c r="CX2" s="38"/>
      <c r="CY2" s="47"/>
      <c r="CZ2" s="47"/>
      <c r="DA2" s="48"/>
    </row>
    <row r="3" ht="15" customHeight="1" spans="1:105">
      <c r="A3" s="80">
        <v>8500</v>
      </c>
      <c r="B3" s="9">
        <v>13000</v>
      </c>
      <c r="C3" s="9">
        <v>15000</v>
      </c>
      <c r="D3" s="9">
        <v>500</v>
      </c>
      <c r="E3" s="9"/>
      <c r="F3" s="9"/>
      <c r="G3" s="9"/>
      <c r="H3" s="11"/>
      <c r="I3" s="68">
        <v>4620</v>
      </c>
      <c r="J3" s="68">
        <v>3460</v>
      </c>
      <c r="K3" s="68">
        <v>14500</v>
      </c>
      <c r="L3" s="68">
        <v>4000</v>
      </c>
      <c r="M3" s="19"/>
      <c r="N3" s="81" t="s">
        <v>8</v>
      </c>
      <c r="O3" s="10">
        <v>555620</v>
      </c>
      <c r="P3" s="11">
        <v>1</v>
      </c>
      <c r="Q3" s="27" t="s">
        <v>9</v>
      </c>
      <c r="R3" s="23">
        <f>SUM(A1:H35)</f>
        <v>1044850</v>
      </c>
      <c r="S3" s="24"/>
      <c r="T3" s="9">
        <v>13000</v>
      </c>
      <c r="U3" s="9">
        <v>102500</v>
      </c>
      <c r="V3" s="9">
        <v>3500</v>
      </c>
      <c r="W3" s="9">
        <v>4000</v>
      </c>
      <c r="X3" s="9">
        <v>3500</v>
      </c>
      <c r="Y3" s="9">
        <v>4800</v>
      </c>
      <c r="Z3" s="9"/>
      <c r="AA3" s="11"/>
      <c r="AB3" s="68">
        <v>500</v>
      </c>
      <c r="AC3" s="10"/>
      <c r="AD3" s="10"/>
      <c r="AE3" s="68">
        <v>28000</v>
      </c>
      <c r="AF3" s="19"/>
      <c r="AG3" s="81" t="s">
        <v>10</v>
      </c>
      <c r="AH3" s="10">
        <v>30650</v>
      </c>
      <c r="AI3" s="11">
        <v>1</v>
      </c>
      <c r="AJ3" s="27" t="s">
        <v>9</v>
      </c>
      <c r="AK3" s="23">
        <f>SUM(T1:AA35)</f>
        <v>2521650</v>
      </c>
      <c r="AM3" s="9">
        <v>19500</v>
      </c>
      <c r="AN3" s="9">
        <v>11900</v>
      </c>
      <c r="AO3" s="9">
        <v>1500</v>
      </c>
      <c r="AP3" s="9">
        <v>15000</v>
      </c>
      <c r="AQ3" s="9">
        <v>4500</v>
      </c>
      <c r="AR3" s="9">
        <v>4000</v>
      </c>
      <c r="AS3" s="9">
        <v>10500</v>
      </c>
      <c r="AT3" s="83"/>
      <c r="AU3" s="86">
        <v>5800</v>
      </c>
      <c r="AV3" s="68">
        <v>1200</v>
      </c>
      <c r="AW3" s="94">
        <v>3500</v>
      </c>
      <c r="AX3" s="95">
        <v>7000</v>
      </c>
      <c r="AY3" s="68">
        <v>7800</v>
      </c>
      <c r="AZ3" s="96"/>
      <c r="BA3" s="21"/>
      <c r="BB3" s="93" t="s">
        <v>8</v>
      </c>
      <c r="BC3" s="10">
        <v>19820</v>
      </c>
      <c r="BD3" s="11">
        <v>1</v>
      </c>
      <c r="BE3" s="27" t="s">
        <v>9</v>
      </c>
      <c r="BF3" s="23">
        <f>SUM(AM1:AT35)</f>
        <v>2143300</v>
      </c>
      <c r="BH3" s="9">
        <v>2000</v>
      </c>
      <c r="BI3" s="9">
        <v>20000</v>
      </c>
      <c r="BJ3" s="9">
        <v>1500</v>
      </c>
      <c r="BK3" s="9">
        <v>3500</v>
      </c>
      <c r="BL3" s="9">
        <v>18600</v>
      </c>
      <c r="BM3" s="9">
        <v>24700</v>
      </c>
      <c r="BN3" s="9">
        <v>6500</v>
      </c>
      <c r="BO3" s="11"/>
      <c r="BP3" s="68">
        <v>21610</v>
      </c>
      <c r="BQ3" s="68">
        <v>6430</v>
      </c>
      <c r="BR3" s="68">
        <v>8780</v>
      </c>
      <c r="BS3" s="10"/>
      <c r="BT3" s="10"/>
      <c r="BU3" s="68">
        <v>67000</v>
      </c>
      <c r="BV3" s="19"/>
      <c r="BW3" s="20" t="s">
        <v>10</v>
      </c>
      <c r="BX3" s="10">
        <v>81700</v>
      </c>
      <c r="BY3" s="11">
        <v>1</v>
      </c>
      <c r="BZ3" s="27" t="s">
        <v>9</v>
      </c>
      <c r="CA3" s="23">
        <f>SUM(BH1:BO35)</f>
        <v>2014450</v>
      </c>
      <c r="CC3" s="9">
        <v>15000</v>
      </c>
      <c r="CD3" s="9">
        <v>4500</v>
      </c>
      <c r="CE3" s="9">
        <v>7000</v>
      </c>
      <c r="CF3" s="9">
        <v>29000</v>
      </c>
      <c r="CG3" s="9">
        <v>108000</v>
      </c>
      <c r="CH3" s="9">
        <v>2500</v>
      </c>
      <c r="CI3" s="9"/>
      <c r="CJ3" s="11"/>
      <c r="CK3" s="68">
        <v>9610</v>
      </c>
      <c r="CL3" s="68">
        <v>4320</v>
      </c>
      <c r="CM3" s="10"/>
      <c r="CN3" s="68">
        <v>9000</v>
      </c>
      <c r="CO3" s="68">
        <v>4000</v>
      </c>
      <c r="CP3" s="10"/>
      <c r="CQ3" s="19"/>
      <c r="CR3" s="20" t="s">
        <v>11</v>
      </c>
      <c r="CS3" s="10">
        <v>133430</v>
      </c>
      <c r="CT3" s="11">
        <v>1</v>
      </c>
      <c r="CU3" s="27" t="s">
        <v>9</v>
      </c>
      <c r="CV3" s="23">
        <f>SUM(CC1:CJ35)</f>
        <v>1923300</v>
      </c>
      <c r="CX3" s="39" t="s">
        <v>9</v>
      </c>
      <c r="CY3" s="49"/>
      <c r="CZ3" s="50">
        <f>SUM(R3,AK3,BF3,CA3,CV3)</f>
        <v>9647550</v>
      </c>
      <c r="DA3" s="51"/>
    </row>
    <row r="4" ht="15" customHeight="1" spans="1:105">
      <c r="A4" s="80">
        <v>4000</v>
      </c>
      <c r="B4" s="9">
        <v>11000</v>
      </c>
      <c r="C4" s="9">
        <v>5500</v>
      </c>
      <c r="D4" s="9">
        <v>3000</v>
      </c>
      <c r="E4" s="9"/>
      <c r="F4" s="9"/>
      <c r="G4" s="9"/>
      <c r="H4" s="11"/>
      <c r="I4" s="68">
        <v>14230</v>
      </c>
      <c r="J4" s="68">
        <v>5760</v>
      </c>
      <c r="K4" s="68">
        <v>10500</v>
      </c>
      <c r="L4" s="68">
        <v>4100</v>
      </c>
      <c r="M4" s="19"/>
      <c r="N4" s="81" t="s">
        <v>12</v>
      </c>
      <c r="O4" s="10">
        <v>189850</v>
      </c>
      <c r="P4" s="11"/>
      <c r="Q4" s="28"/>
      <c r="R4" s="26"/>
      <c r="S4" s="24"/>
      <c r="T4" s="9">
        <v>6500</v>
      </c>
      <c r="U4" s="9">
        <v>900</v>
      </c>
      <c r="V4" s="9">
        <v>4000</v>
      </c>
      <c r="W4" s="9">
        <v>9200</v>
      </c>
      <c r="X4" s="9">
        <v>2000</v>
      </c>
      <c r="Y4" s="9">
        <v>800</v>
      </c>
      <c r="Z4" s="9"/>
      <c r="AA4" s="11"/>
      <c r="AB4" s="68">
        <v>3050</v>
      </c>
      <c r="AC4" s="10"/>
      <c r="AD4" s="10"/>
      <c r="AE4" s="68">
        <v>8800</v>
      </c>
      <c r="AF4" s="19"/>
      <c r="AG4" s="81" t="s">
        <v>13</v>
      </c>
      <c r="AH4" s="10">
        <v>217620</v>
      </c>
      <c r="AI4" s="11"/>
      <c r="AJ4" s="28"/>
      <c r="AK4" s="26"/>
      <c r="AM4" s="9">
        <v>25000</v>
      </c>
      <c r="AN4" s="9">
        <v>2000</v>
      </c>
      <c r="AO4" s="9">
        <v>450</v>
      </c>
      <c r="AP4" s="9">
        <v>39000</v>
      </c>
      <c r="AQ4" s="9">
        <v>3800</v>
      </c>
      <c r="AR4" s="9">
        <v>8100</v>
      </c>
      <c r="AS4" s="9">
        <v>6000</v>
      </c>
      <c r="AT4" s="83"/>
      <c r="AU4" s="86">
        <v>12300</v>
      </c>
      <c r="AV4" s="68">
        <v>2500</v>
      </c>
      <c r="AW4" s="94">
        <v>5000</v>
      </c>
      <c r="AX4" s="95">
        <v>20900</v>
      </c>
      <c r="AY4" s="68">
        <v>9000</v>
      </c>
      <c r="AZ4" s="96"/>
      <c r="BA4" s="21"/>
      <c r="BB4" s="93" t="s">
        <v>14</v>
      </c>
      <c r="BC4" s="10">
        <v>3980000</v>
      </c>
      <c r="BD4" s="11"/>
      <c r="BE4" s="28"/>
      <c r="BF4" s="26"/>
      <c r="BH4" s="9">
        <v>7200</v>
      </c>
      <c r="BI4" s="9">
        <v>4500</v>
      </c>
      <c r="BJ4" s="9">
        <v>1500</v>
      </c>
      <c r="BK4" s="9">
        <v>8500</v>
      </c>
      <c r="BL4" s="9">
        <v>32500</v>
      </c>
      <c r="BM4" s="9">
        <v>9500</v>
      </c>
      <c r="BN4" s="9">
        <v>10500</v>
      </c>
      <c r="BO4" s="11"/>
      <c r="BP4" s="68">
        <v>24000</v>
      </c>
      <c r="BQ4" s="68">
        <v>8000</v>
      </c>
      <c r="BR4" s="68">
        <v>6250</v>
      </c>
      <c r="BS4" s="10"/>
      <c r="BT4" s="10"/>
      <c r="BU4" s="68">
        <v>4500</v>
      </c>
      <c r="BV4" s="19"/>
      <c r="BW4" s="20" t="s">
        <v>15</v>
      </c>
      <c r="BX4" s="10">
        <v>261300</v>
      </c>
      <c r="BY4" s="11"/>
      <c r="BZ4" s="28"/>
      <c r="CA4" s="26"/>
      <c r="CC4" s="9">
        <v>10500</v>
      </c>
      <c r="CD4" s="9">
        <v>2500</v>
      </c>
      <c r="CE4" s="9">
        <v>1700</v>
      </c>
      <c r="CF4" s="9">
        <v>500</v>
      </c>
      <c r="CG4" s="9">
        <v>14000</v>
      </c>
      <c r="CH4" s="9">
        <v>4000</v>
      </c>
      <c r="CI4" s="9"/>
      <c r="CJ4" s="11"/>
      <c r="CK4" s="68">
        <v>1440</v>
      </c>
      <c r="CL4" s="68">
        <v>3360</v>
      </c>
      <c r="CM4" s="10"/>
      <c r="CN4" s="68">
        <v>7000</v>
      </c>
      <c r="CO4" s="68">
        <v>2500</v>
      </c>
      <c r="CP4" s="10"/>
      <c r="CQ4" s="19"/>
      <c r="CR4" s="20" t="s">
        <v>11</v>
      </c>
      <c r="CS4" s="10">
        <v>133430</v>
      </c>
      <c r="CT4" s="11"/>
      <c r="CU4" s="28"/>
      <c r="CV4" s="26"/>
      <c r="CX4" s="40"/>
      <c r="CY4" s="52"/>
      <c r="CZ4" s="53"/>
      <c r="DA4" s="54"/>
    </row>
    <row r="5" ht="15" customHeight="1" spans="1:105">
      <c r="A5" s="80">
        <v>6000</v>
      </c>
      <c r="B5" s="9">
        <v>8000</v>
      </c>
      <c r="C5" s="9">
        <v>3250</v>
      </c>
      <c r="D5" s="9">
        <v>1500</v>
      </c>
      <c r="E5" s="9"/>
      <c r="F5" s="9"/>
      <c r="G5" s="9"/>
      <c r="H5" s="11"/>
      <c r="I5" s="68">
        <v>40650</v>
      </c>
      <c r="J5" s="68">
        <v>9000</v>
      </c>
      <c r="K5" s="68">
        <v>2500</v>
      </c>
      <c r="L5" s="68">
        <v>32200</v>
      </c>
      <c r="M5" s="19"/>
      <c r="N5" s="81" t="s">
        <v>16</v>
      </c>
      <c r="O5" s="10">
        <v>46500</v>
      </c>
      <c r="P5" s="11"/>
      <c r="Q5" s="27" t="s">
        <v>17</v>
      </c>
      <c r="R5" s="23">
        <f>SUM(I2:L35)</f>
        <v>1400160</v>
      </c>
      <c r="S5" s="24"/>
      <c r="T5" s="9">
        <v>2000</v>
      </c>
      <c r="U5" s="9">
        <v>4500</v>
      </c>
      <c r="V5" s="9">
        <v>10500</v>
      </c>
      <c r="W5" s="9">
        <v>7500</v>
      </c>
      <c r="X5" s="9">
        <v>10000</v>
      </c>
      <c r="Y5" s="9">
        <v>5000</v>
      </c>
      <c r="Z5" s="9"/>
      <c r="AA5" s="11"/>
      <c r="AB5" s="68">
        <v>27380</v>
      </c>
      <c r="AC5" s="10"/>
      <c r="AD5" s="10"/>
      <c r="AE5" s="68">
        <v>10500</v>
      </c>
      <c r="AF5" s="19"/>
      <c r="AG5" s="81" t="s">
        <v>11</v>
      </c>
      <c r="AH5" s="10">
        <v>631850</v>
      </c>
      <c r="AI5" s="11"/>
      <c r="AJ5" s="27" t="s">
        <v>17</v>
      </c>
      <c r="AK5" s="23">
        <f>SUM(AB2:AE35)</f>
        <v>2717350</v>
      </c>
      <c r="AM5" s="9">
        <v>9000</v>
      </c>
      <c r="AN5" s="9">
        <v>32000</v>
      </c>
      <c r="AO5" s="9">
        <v>11750</v>
      </c>
      <c r="AP5" s="9">
        <v>700</v>
      </c>
      <c r="AQ5" s="9">
        <v>2400</v>
      </c>
      <c r="AR5" s="9">
        <v>15200</v>
      </c>
      <c r="AS5" s="9">
        <v>1500</v>
      </c>
      <c r="AT5" s="83"/>
      <c r="AU5" s="86">
        <v>190</v>
      </c>
      <c r="AV5" s="68">
        <v>7000</v>
      </c>
      <c r="AW5" s="94">
        <v>3000</v>
      </c>
      <c r="AX5" s="95">
        <v>3760</v>
      </c>
      <c r="AY5" s="68">
        <v>8000</v>
      </c>
      <c r="AZ5" s="96"/>
      <c r="BA5" s="21"/>
      <c r="BB5" s="93" t="s">
        <v>18</v>
      </c>
      <c r="BC5" s="10">
        <v>881600</v>
      </c>
      <c r="BD5" s="11"/>
      <c r="BE5" s="27" t="s">
        <v>17</v>
      </c>
      <c r="BF5" s="23">
        <f>SUM(AU2:AZ35)</f>
        <v>1972220</v>
      </c>
      <c r="BH5" s="9">
        <v>6500</v>
      </c>
      <c r="BI5" s="9">
        <v>1000</v>
      </c>
      <c r="BJ5" s="9">
        <v>8300</v>
      </c>
      <c r="BK5" s="9">
        <v>8000</v>
      </c>
      <c r="BL5" s="9">
        <v>2500</v>
      </c>
      <c r="BM5" s="9">
        <v>4500</v>
      </c>
      <c r="BN5" s="9">
        <v>11300</v>
      </c>
      <c r="BO5" s="11"/>
      <c r="BP5" s="68">
        <v>6000</v>
      </c>
      <c r="BQ5" s="68">
        <v>6000</v>
      </c>
      <c r="BR5" s="68">
        <v>10000</v>
      </c>
      <c r="BS5" s="10"/>
      <c r="BT5" s="10"/>
      <c r="BU5" s="68">
        <v>3000</v>
      </c>
      <c r="BV5" s="19"/>
      <c r="BW5" s="20" t="s">
        <v>19</v>
      </c>
      <c r="BX5" s="10">
        <v>1192000</v>
      </c>
      <c r="BY5" s="11"/>
      <c r="BZ5" s="27" t="s">
        <v>17</v>
      </c>
      <c r="CA5" s="23">
        <f>SUM(BP2:BU35)</f>
        <v>2328420</v>
      </c>
      <c r="CC5" s="9">
        <v>16600</v>
      </c>
      <c r="CD5" s="9">
        <v>450</v>
      </c>
      <c r="CE5" s="9">
        <v>6500</v>
      </c>
      <c r="CF5" s="9">
        <v>9000</v>
      </c>
      <c r="CG5" s="9">
        <v>5000</v>
      </c>
      <c r="CH5" s="9">
        <v>10000</v>
      </c>
      <c r="CI5" s="9"/>
      <c r="CJ5" s="11"/>
      <c r="CK5" s="68">
        <v>8300</v>
      </c>
      <c r="CL5" s="68">
        <v>5540</v>
      </c>
      <c r="CM5" s="10"/>
      <c r="CN5" s="68">
        <v>7000</v>
      </c>
      <c r="CO5" s="68">
        <v>10000</v>
      </c>
      <c r="CP5" s="10"/>
      <c r="CQ5" s="19"/>
      <c r="CR5" s="20" t="s">
        <v>20</v>
      </c>
      <c r="CS5" s="10">
        <v>127500</v>
      </c>
      <c r="CT5" s="11"/>
      <c r="CU5" s="27" t="s">
        <v>17</v>
      </c>
      <c r="CV5" s="23">
        <f>SUM(CK2:CP35)</f>
        <v>1251060</v>
      </c>
      <c r="CX5" s="39" t="s">
        <v>17</v>
      </c>
      <c r="CY5" s="49"/>
      <c r="CZ5" s="50">
        <f>SUM(R5,AK5,BF5,CA5,CV5)</f>
        <v>9669210</v>
      </c>
      <c r="DA5" s="51"/>
    </row>
    <row r="6" ht="15" customHeight="1" spans="1:105">
      <c r="A6" s="9">
        <v>1000</v>
      </c>
      <c r="B6" s="9">
        <v>5600</v>
      </c>
      <c r="C6" s="9">
        <v>65000</v>
      </c>
      <c r="D6" s="9">
        <v>4000</v>
      </c>
      <c r="E6" s="9"/>
      <c r="F6" s="9"/>
      <c r="G6" s="9"/>
      <c r="H6" s="11"/>
      <c r="I6" s="68">
        <v>40650</v>
      </c>
      <c r="J6" s="68">
        <v>10700</v>
      </c>
      <c r="K6" s="68">
        <v>3000</v>
      </c>
      <c r="L6" s="68">
        <v>10500</v>
      </c>
      <c r="M6" s="19"/>
      <c r="N6" s="81" t="s">
        <v>21</v>
      </c>
      <c r="O6" s="10">
        <v>11600</v>
      </c>
      <c r="P6" s="11"/>
      <c r="Q6" s="28"/>
      <c r="R6" s="26"/>
      <c r="S6" s="24"/>
      <c r="T6" s="9">
        <v>6500</v>
      </c>
      <c r="U6" s="9">
        <v>500</v>
      </c>
      <c r="V6" s="9">
        <v>3000</v>
      </c>
      <c r="W6" s="9">
        <v>1600</v>
      </c>
      <c r="X6" s="9">
        <v>13000</v>
      </c>
      <c r="Y6" s="9">
        <v>8300</v>
      </c>
      <c r="Z6" s="9"/>
      <c r="AA6" s="11"/>
      <c r="AB6" s="68">
        <v>26500</v>
      </c>
      <c r="AC6" s="10"/>
      <c r="AD6" s="10"/>
      <c r="AE6" s="68">
        <v>35000</v>
      </c>
      <c r="AF6" s="19"/>
      <c r="AG6" s="81" t="s">
        <v>22</v>
      </c>
      <c r="AH6" s="10">
        <v>567000</v>
      </c>
      <c r="AI6" s="11"/>
      <c r="AJ6" s="28"/>
      <c r="AK6" s="26"/>
      <c r="AM6" s="9">
        <v>27700</v>
      </c>
      <c r="AN6" s="9">
        <v>2800</v>
      </c>
      <c r="AO6" s="9">
        <v>1000</v>
      </c>
      <c r="AP6" s="9">
        <v>8300</v>
      </c>
      <c r="AQ6" s="9">
        <v>11000</v>
      </c>
      <c r="AR6" s="9">
        <v>1500</v>
      </c>
      <c r="AS6" s="9">
        <v>5000</v>
      </c>
      <c r="AT6" s="83"/>
      <c r="AU6" s="86">
        <v>6200</v>
      </c>
      <c r="AV6" s="68">
        <v>2000</v>
      </c>
      <c r="AW6" s="94">
        <v>1800</v>
      </c>
      <c r="AX6" s="95">
        <v>47500</v>
      </c>
      <c r="AY6" s="68">
        <v>30000</v>
      </c>
      <c r="AZ6" s="96"/>
      <c r="BA6" s="21"/>
      <c r="BB6" s="93" t="s">
        <v>23</v>
      </c>
      <c r="BC6" s="10">
        <v>800850</v>
      </c>
      <c r="BD6" s="11"/>
      <c r="BE6" s="28"/>
      <c r="BF6" s="26"/>
      <c r="BH6" s="9">
        <v>6000</v>
      </c>
      <c r="BI6" s="9">
        <v>4000</v>
      </c>
      <c r="BJ6" s="9">
        <v>4500</v>
      </c>
      <c r="BK6" s="9">
        <v>10000</v>
      </c>
      <c r="BL6" s="9">
        <v>1000</v>
      </c>
      <c r="BM6" s="9">
        <v>2300</v>
      </c>
      <c r="BN6" s="9">
        <v>5500</v>
      </c>
      <c r="BO6" s="11"/>
      <c r="BP6" s="68">
        <v>24000</v>
      </c>
      <c r="BQ6" s="68">
        <v>13720</v>
      </c>
      <c r="BR6" s="68">
        <v>2300</v>
      </c>
      <c r="BS6" s="10"/>
      <c r="BT6" s="10"/>
      <c r="BU6" s="68">
        <v>10000</v>
      </c>
      <c r="BV6" s="19"/>
      <c r="BW6" s="20" t="s">
        <v>24</v>
      </c>
      <c r="BX6" s="10">
        <v>44570</v>
      </c>
      <c r="BY6" s="11"/>
      <c r="BZ6" s="28"/>
      <c r="CA6" s="26"/>
      <c r="CC6" s="9">
        <v>600</v>
      </c>
      <c r="CD6" s="9">
        <v>1000</v>
      </c>
      <c r="CE6" s="9">
        <v>3000</v>
      </c>
      <c r="CF6" s="9">
        <v>1000</v>
      </c>
      <c r="CG6" s="9">
        <v>8500</v>
      </c>
      <c r="CH6" s="9">
        <v>52000</v>
      </c>
      <c r="CI6" s="9"/>
      <c r="CJ6" s="11"/>
      <c r="CK6" s="68">
        <v>990</v>
      </c>
      <c r="CL6" s="68">
        <v>15400</v>
      </c>
      <c r="CM6" s="10"/>
      <c r="CN6" s="68">
        <v>24700</v>
      </c>
      <c r="CO6" s="68">
        <v>10500</v>
      </c>
      <c r="CP6" s="10"/>
      <c r="CQ6" s="19"/>
      <c r="CR6" s="20" t="s">
        <v>25</v>
      </c>
      <c r="CS6" s="10">
        <v>207170</v>
      </c>
      <c r="CT6" s="11"/>
      <c r="CU6" s="28"/>
      <c r="CV6" s="26"/>
      <c r="CX6" s="40"/>
      <c r="CY6" s="52"/>
      <c r="CZ6" s="53"/>
      <c r="DA6" s="54"/>
    </row>
    <row r="7" ht="15" customHeight="1" spans="1:105">
      <c r="A7" s="9">
        <v>10000</v>
      </c>
      <c r="B7" s="9">
        <v>120000</v>
      </c>
      <c r="C7" s="9">
        <v>5000</v>
      </c>
      <c r="D7" s="9"/>
      <c r="E7" s="9"/>
      <c r="F7" s="9"/>
      <c r="G7" s="9"/>
      <c r="H7" s="11"/>
      <c r="I7" s="68">
        <v>7860</v>
      </c>
      <c r="J7" s="68">
        <v>5000</v>
      </c>
      <c r="K7" s="68">
        <v>12000</v>
      </c>
      <c r="L7" s="68">
        <v>60000</v>
      </c>
      <c r="M7" s="19"/>
      <c r="N7" s="81" t="s">
        <v>22</v>
      </c>
      <c r="O7" s="10">
        <v>439000</v>
      </c>
      <c r="P7" s="11"/>
      <c r="Q7" s="27" t="s">
        <v>1</v>
      </c>
      <c r="R7" s="23">
        <f>SUM(O2:O35)</f>
        <v>2300570</v>
      </c>
      <c r="S7" s="24"/>
      <c r="T7" s="9">
        <v>5000</v>
      </c>
      <c r="U7" s="9">
        <v>12500</v>
      </c>
      <c r="V7" s="9">
        <v>6000</v>
      </c>
      <c r="W7" s="9">
        <v>5000</v>
      </c>
      <c r="X7" s="9">
        <v>4500</v>
      </c>
      <c r="Y7" s="9">
        <v>3100</v>
      </c>
      <c r="Z7" s="9"/>
      <c r="AA7" s="11"/>
      <c r="AB7" s="68">
        <v>70000</v>
      </c>
      <c r="AC7" s="10"/>
      <c r="AD7" s="10"/>
      <c r="AE7" s="68">
        <v>32000</v>
      </c>
      <c r="AF7" s="19"/>
      <c r="AG7" s="81" t="s">
        <v>26</v>
      </c>
      <c r="AH7" s="10">
        <v>63000</v>
      </c>
      <c r="AI7" s="11"/>
      <c r="AJ7" s="27" t="s">
        <v>1</v>
      </c>
      <c r="AK7" s="23">
        <f>SUM(AH2:AH35)</f>
        <v>4079870</v>
      </c>
      <c r="AM7" s="9">
        <v>23300</v>
      </c>
      <c r="AN7" s="9">
        <v>2000</v>
      </c>
      <c r="AO7" s="9">
        <v>8200</v>
      </c>
      <c r="AP7" s="9">
        <v>1200</v>
      </c>
      <c r="AQ7" s="9">
        <v>1600</v>
      </c>
      <c r="AR7" s="9">
        <v>70000</v>
      </c>
      <c r="AS7" s="9">
        <v>1000</v>
      </c>
      <c r="AT7" s="83"/>
      <c r="AU7" s="86">
        <v>6000</v>
      </c>
      <c r="AV7" s="68">
        <v>1200</v>
      </c>
      <c r="AW7" s="94">
        <v>10660</v>
      </c>
      <c r="AX7" s="95">
        <v>6400</v>
      </c>
      <c r="AY7" s="68">
        <v>9500</v>
      </c>
      <c r="AZ7" s="96"/>
      <c r="BA7" s="21"/>
      <c r="BB7" s="93" t="s">
        <v>14</v>
      </c>
      <c r="BC7" s="10">
        <v>1134520</v>
      </c>
      <c r="BD7" s="11"/>
      <c r="BE7" s="27" t="s">
        <v>1</v>
      </c>
      <c r="BF7" s="23">
        <f>SUM(BC2:BC35)</f>
        <v>11406570</v>
      </c>
      <c r="BH7" s="9">
        <v>16000</v>
      </c>
      <c r="BI7" s="9">
        <v>900</v>
      </c>
      <c r="BJ7" s="9">
        <v>2600</v>
      </c>
      <c r="BK7" s="9">
        <v>16600</v>
      </c>
      <c r="BL7" s="9">
        <v>4000</v>
      </c>
      <c r="BM7" s="9">
        <v>26000</v>
      </c>
      <c r="BN7" s="9">
        <v>6500</v>
      </c>
      <c r="BO7" s="11"/>
      <c r="BP7" s="68">
        <v>15700</v>
      </c>
      <c r="BQ7" s="68">
        <v>25410</v>
      </c>
      <c r="BR7" s="68">
        <v>1480</v>
      </c>
      <c r="BS7" s="10"/>
      <c r="BT7" s="10"/>
      <c r="BU7" s="68">
        <v>9500</v>
      </c>
      <c r="BV7" s="19"/>
      <c r="BW7" s="20" t="s">
        <v>27</v>
      </c>
      <c r="BX7" s="10">
        <v>105000</v>
      </c>
      <c r="BY7" s="11"/>
      <c r="BZ7" s="27" t="s">
        <v>1</v>
      </c>
      <c r="CA7" s="23">
        <f>SUM(BX2:BX35)</f>
        <v>4831400</v>
      </c>
      <c r="CC7" s="9">
        <v>2500</v>
      </c>
      <c r="CD7" s="9">
        <v>5400</v>
      </c>
      <c r="CE7" s="9">
        <v>1500</v>
      </c>
      <c r="CF7" s="9">
        <v>4000</v>
      </c>
      <c r="CG7" s="9">
        <v>2000</v>
      </c>
      <c r="CH7" s="9">
        <v>2500</v>
      </c>
      <c r="CI7" s="9"/>
      <c r="CJ7" s="11"/>
      <c r="CK7" s="68">
        <v>16330</v>
      </c>
      <c r="CL7" s="68">
        <v>4130</v>
      </c>
      <c r="CM7" s="10"/>
      <c r="CN7" s="68">
        <v>23800</v>
      </c>
      <c r="CO7" s="68">
        <v>11000</v>
      </c>
      <c r="CP7" s="10"/>
      <c r="CQ7" s="19"/>
      <c r="CR7" s="20" t="s">
        <v>28</v>
      </c>
      <c r="CS7" s="10">
        <v>992900</v>
      </c>
      <c r="CT7" s="11"/>
      <c r="CU7" s="27" t="s">
        <v>1</v>
      </c>
      <c r="CV7" s="23">
        <f>SUM(CS2:CS35)</f>
        <v>4259950</v>
      </c>
      <c r="CX7" s="39" t="s">
        <v>1</v>
      </c>
      <c r="CY7" s="49"/>
      <c r="CZ7" s="50">
        <f>SUM(R7,AK7,BF7,CA7,CV7)</f>
        <v>26878360</v>
      </c>
      <c r="DA7" s="51"/>
    </row>
    <row r="8" ht="15" customHeight="1" spans="1:105">
      <c r="A8" s="9">
        <v>8000</v>
      </c>
      <c r="B8" s="9">
        <v>3000</v>
      </c>
      <c r="C8" s="9">
        <v>6500</v>
      </c>
      <c r="D8" s="9"/>
      <c r="E8" s="9"/>
      <c r="F8" s="9"/>
      <c r="G8" s="9"/>
      <c r="H8" s="11"/>
      <c r="I8" s="68">
        <v>2770</v>
      </c>
      <c r="J8" s="68">
        <v>2800</v>
      </c>
      <c r="K8" s="68">
        <v>1500</v>
      </c>
      <c r="L8" s="68">
        <v>5500</v>
      </c>
      <c r="M8" s="19"/>
      <c r="N8" s="81" t="s">
        <v>29</v>
      </c>
      <c r="O8" s="10">
        <v>200000</v>
      </c>
      <c r="P8" s="11"/>
      <c r="Q8" s="28"/>
      <c r="R8" s="26"/>
      <c r="S8" s="24"/>
      <c r="T8" s="9">
        <v>600</v>
      </c>
      <c r="U8" s="9">
        <v>5000</v>
      </c>
      <c r="V8" s="9">
        <v>2500</v>
      </c>
      <c r="W8" s="9">
        <v>3100</v>
      </c>
      <c r="X8" s="9">
        <v>40000</v>
      </c>
      <c r="Y8" s="9">
        <v>16000</v>
      </c>
      <c r="Z8" s="9"/>
      <c r="AA8" s="11"/>
      <c r="AB8" s="68">
        <v>10500</v>
      </c>
      <c r="AC8" s="10"/>
      <c r="AD8" s="10"/>
      <c r="AE8" s="68">
        <v>7500</v>
      </c>
      <c r="AF8" s="19"/>
      <c r="AG8" s="81" t="s">
        <v>30</v>
      </c>
      <c r="AH8" s="10">
        <v>30200</v>
      </c>
      <c r="AI8" s="11"/>
      <c r="AJ8" s="28"/>
      <c r="AK8" s="26"/>
      <c r="AM8" s="9">
        <v>5100</v>
      </c>
      <c r="AN8" s="9">
        <v>19300</v>
      </c>
      <c r="AO8" s="9">
        <v>1800</v>
      </c>
      <c r="AP8" s="9">
        <v>2000</v>
      </c>
      <c r="AQ8" s="9">
        <v>28000</v>
      </c>
      <c r="AR8" s="9">
        <v>10500</v>
      </c>
      <c r="AS8" s="9">
        <v>3000</v>
      </c>
      <c r="AT8" s="83"/>
      <c r="AU8" s="86">
        <v>2030</v>
      </c>
      <c r="AV8" s="68">
        <v>98990</v>
      </c>
      <c r="AW8" s="94">
        <v>36000</v>
      </c>
      <c r="AX8" s="95">
        <v>8000</v>
      </c>
      <c r="AY8" s="68">
        <v>1500</v>
      </c>
      <c r="AZ8" s="96"/>
      <c r="BA8" s="21"/>
      <c r="BB8" s="93" t="s">
        <v>31</v>
      </c>
      <c r="BC8" s="10">
        <v>13500</v>
      </c>
      <c r="BD8" s="11"/>
      <c r="BE8" s="28"/>
      <c r="BF8" s="26"/>
      <c r="BH8" s="9">
        <v>16600</v>
      </c>
      <c r="BI8" s="9">
        <v>1600</v>
      </c>
      <c r="BJ8" s="9">
        <v>11300</v>
      </c>
      <c r="BK8" s="9">
        <v>3500</v>
      </c>
      <c r="BL8" s="9">
        <v>11400</v>
      </c>
      <c r="BM8" s="9">
        <v>3000</v>
      </c>
      <c r="BN8" s="9">
        <v>2000</v>
      </c>
      <c r="BO8" s="11"/>
      <c r="BP8" s="68">
        <v>3500</v>
      </c>
      <c r="BQ8" s="68">
        <v>2000</v>
      </c>
      <c r="BR8" s="10"/>
      <c r="BS8" s="10"/>
      <c r="BT8" s="10"/>
      <c r="BU8" s="68">
        <v>3500</v>
      </c>
      <c r="BV8" s="19"/>
      <c r="BW8" s="20" t="s">
        <v>32</v>
      </c>
      <c r="BX8" s="10">
        <v>36000</v>
      </c>
      <c r="BY8" s="11"/>
      <c r="BZ8" s="28"/>
      <c r="CA8" s="26"/>
      <c r="CC8" s="9">
        <v>3500</v>
      </c>
      <c r="CD8" s="9">
        <v>2000</v>
      </c>
      <c r="CE8" s="9">
        <v>7500</v>
      </c>
      <c r="CF8" s="9">
        <v>2500</v>
      </c>
      <c r="CG8" s="9">
        <v>2000</v>
      </c>
      <c r="CH8" s="9">
        <v>6000</v>
      </c>
      <c r="CI8" s="9"/>
      <c r="CJ8" s="11"/>
      <c r="CK8" s="68">
        <v>13450</v>
      </c>
      <c r="CL8" s="68">
        <v>36500</v>
      </c>
      <c r="CM8" s="10"/>
      <c r="CN8" s="68">
        <v>8300</v>
      </c>
      <c r="CO8" s="68">
        <v>3500</v>
      </c>
      <c r="CP8" s="10"/>
      <c r="CQ8" s="19"/>
      <c r="CR8" s="20" t="s">
        <v>28</v>
      </c>
      <c r="CS8" s="10">
        <v>680000</v>
      </c>
      <c r="CT8" s="11"/>
      <c r="CU8" s="28"/>
      <c r="CV8" s="26"/>
      <c r="CX8" s="40"/>
      <c r="CY8" s="52"/>
      <c r="CZ8" s="53"/>
      <c r="DA8" s="54"/>
    </row>
    <row r="9" ht="15" customHeight="1" spans="1:105">
      <c r="A9" s="9">
        <v>30000</v>
      </c>
      <c r="B9" s="9">
        <v>57800</v>
      </c>
      <c r="C9" s="9">
        <v>4000</v>
      </c>
      <c r="D9" s="9"/>
      <c r="E9" s="9"/>
      <c r="F9" s="9"/>
      <c r="G9" s="9"/>
      <c r="H9" s="11"/>
      <c r="I9" s="68">
        <v>580</v>
      </c>
      <c r="J9" s="68">
        <v>500</v>
      </c>
      <c r="K9" s="10"/>
      <c r="L9" s="68">
        <v>21200</v>
      </c>
      <c r="M9" s="19"/>
      <c r="N9" s="81"/>
      <c r="O9" s="10"/>
      <c r="P9" s="11"/>
      <c r="Q9" s="29" t="s">
        <v>33</v>
      </c>
      <c r="R9" s="30">
        <f>R3+R5</f>
        <v>2445010</v>
      </c>
      <c r="S9" s="24"/>
      <c r="T9" s="9">
        <v>1500</v>
      </c>
      <c r="U9" s="9">
        <v>600</v>
      </c>
      <c r="V9" s="9">
        <v>1200</v>
      </c>
      <c r="W9" s="9">
        <v>13000</v>
      </c>
      <c r="X9" s="9">
        <v>1500</v>
      </c>
      <c r="Y9" s="9">
        <v>2000</v>
      </c>
      <c r="Z9" s="9"/>
      <c r="AA9" s="11"/>
      <c r="AB9" s="68">
        <v>4800</v>
      </c>
      <c r="AC9" s="10"/>
      <c r="AD9" s="10"/>
      <c r="AE9" s="68">
        <v>4800</v>
      </c>
      <c r="AF9" s="19"/>
      <c r="AG9" s="81" t="s">
        <v>34</v>
      </c>
      <c r="AH9" s="10">
        <v>105000</v>
      </c>
      <c r="AI9" s="11"/>
      <c r="AJ9" s="29" t="s">
        <v>33</v>
      </c>
      <c r="AK9" s="30">
        <f>AK3+AK5</f>
        <v>5239000</v>
      </c>
      <c r="AM9" s="9">
        <v>5000</v>
      </c>
      <c r="AN9" s="9">
        <v>2400</v>
      </c>
      <c r="AO9" s="9">
        <v>2000</v>
      </c>
      <c r="AP9" s="9">
        <v>2000</v>
      </c>
      <c r="AQ9" s="9">
        <v>15000</v>
      </c>
      <c r="AR9" s="9">
        <v>5000</v>
      </c>
      <c r="AS9" s="9">
        <v>6800</v>
      </c>
      <c r="AT9" s="83"/>
      <c r="AU9" s="86">
        <v>4000</v>
      </c>
      <c r="AV9" s="68">
        <v>3840</v>
      </c>
      <c r="AW9" s="94">
        <v>6000</v>
      </c>
      <c r="AX9" s="95">
        <v>3500</v>
      </c>
      <c r="AY9" s="68">
        <v>4000</v>
      </c>
      <c r="AZ9" s="96"/>
      <c r="BA9" s="21"/>
      <c r="BB9" s="93" t="s">
        <v>35</v>
      </c>
      <c r="BC9" s="10">
        <v>243550</v>
      </c>
      <c r="BD9" s="11"/>
      <c r="BE9" s="29" t="s">
        <v>33</v>
      </c>
      <c r="BF9" s="30">
        <f>BF3+BF5</f>
        <v>4115520</v>
      </c>
      <c r="BH9" s="9">
        <v>7500</v>
      </c>
      <c r="BI9" s="9">
        <v>13800</v>
      </c>
      <c r="BJ9" s="9">
        <v>1500</v>
      </c>
      <c r="BK9" s="9">
        <v>3000</v>
      </c>
      <c r="BL9" s="9">
        <v>3000</v>
      </c>
      <c r="BM9" s="9">
        <v>1800</v>
      </c>
      <c r="BN9" s="9">
        <v>7500</v>
      </c>
      <c r="BO9" s="11"/>
      <c r="BP9" s="68">
        <v>8160</v>
      </c>
      <c r="BQ9" s="68">
        <v>7970</v>
      </c>
      <c r="BR9" s="10"/>
      <c r="BS9" s="10"/>
      <c r="BT9" s="10"/>
      <c r="BU9" s="68">
        <v>2300</v>
      </c>
      <c r="BV9" s="19"/>
      <c r="BW9" s="20" t="s">
        <v>18</v>
      </c>
      <c r="BX9" s="10">
        <v>970000</v>
      </c>
      <c r="BY9" s="11"/>
      <c r="BZ9" s="29" t="s">
        <v>33</v>
      </c>
      <c r="CA9" s="30">
        <f>CA3+CA5</f>
        <v>4342870</v>
      </c>
      <c r="CC9" s="9">
        <v>4800</v>
      </c>
      <c r="CD9" s="9">
        <v>6500</v>
      </c>
      <c r="CE9" s="9">
        <v>8500</v>
      </c>
      <c r="CF9" s="9">
        <v>3500</v>
      </c>
      <c r="CG9" s="9">
        <v>53000</v>
      </c>
      <c r="CH9" s="9">
        <v>7500</v>
      </c>
      <c r="CI9" s="9"/>
      <c r="CJ9" s="11"/>
      <c r="CK9" s="68">
        <v>17290</v>
      </c>
      <c r="CL9" s="68">
        <v>19000</v>
      </c>
      <c r="CM9" s="10"/>
      <c r="CN9" s="68">
        <v>1700</v>
      </c>
      <c r="CO9" s="68">
        <v>20000</v>
      </c>
      <c r="CP9" s="10"/>
      <c r="CQ9" s="19"/>
      <c r="CR9" s="20" t="s">
        <v>18</v>
      </c>
      <c r="CS9" s="10">
        <v>338600</v>
      </c>
      <c r="CT9" s="11"/>
      <c r="CU9" s="29" t="s">
        <v>33</v>
      </c>
      <c r="CV9" s="30">
        <f>CV3+CV5</f>
        <v>3174360</v>
      </c>
      <c r="CX9" s="41" t="s">
        <v>33</v>
      </c>
      <c r="CY9" s="55"/>
      <c r="CZ9" s="56">
        <f>CZ3+CZ5</f>
        <v>19316760</v>
      </c>
      <c r="DA9" s="57"/>
    </row>
    <row r="10" ht="15" customHeight="1" spans="1:105">
      <c r="A10" s="9">
        <v>2000</v>
      </c>
      <c r="B10" s="9">
        <v>1500</v>
      </c>
      <c r="C10" s="9">
        <v>2000</v>
      </c>
      <c r="D10" s="9"/>
      <c r="E10" s="9"/>
      <c r="F10" s="9"/>
      <c r="G10" s="9"/>
      <c r="H10" s="11"/>
      <c r="I10" s="68">
        <v>1580</v>
      </c>
      <c r="J10" s="68">
        <v>17300</v>
      </c>
      <c r="K10" s="10"/>
      <c r="L10" s="68">
        <v>5000</v>
      </c>
      <c r="M10" s="19"/>
      <c r="N10" s="81"/>
      <c r="O10" s="10"/>
      <c r="P10" s="11"/>
      <c r="Q10" s="29" t="s">
        <v>36</v>
      </c>
      <c r="R10" s="30">
        <f>R1+R3+R5-R7+R15+R16</f>
        <v>2231660</v>
      </c>
      <c r="S10" s="24"/>
      <c r="T10" s="9">
        <v>1000</v>
      </c>
      <c r="U10" s="9">
        <v>2000</v>
      </c>
      <c r="V10" s="9">
        <v>3700</v>
      </c>
      <c r="W10" s="9">
        <v>9000</v>
      </c>
      <c r="X10" s="9">
        <v>3500</v>
      </c>
      <c r="Y10" s="9">
        <v>1500</v>
      </c>
      <c r="Z10" s="9"/>
      <c r="AA10" s="11"/>
      <c r="AB10" s="68">
        <v>19220</v>
      </c>
      <c r="AC10" s="10"/>
      <c r="AD10" s="10"/>
      <c r="AE10" s="68">
        <v>1000</v>
      </c>
      <c r="AF10" s="19"/>
      <c r="AG10" s="81" t="s">
        <v>37</v>
      </c>
      <c r="AH10" s="10">
        <v>59450</v>
      </c>
      <c r="AI10" s="11"/>
      <c r="AJ10" s="29" t="s">
        <v>36</v>
      </c>
      <c r="AK10" s="30">
        <f>AK1+AK3+AK5-AK7+AK15+AK16</f>
        <v>3988350</v>
      </c>
      <c r="AM10" s="9">
        <v>7000</v>
      </c>
      <c r="AN10" s="9">
        <v>4500</v>
      </c>
      <c r="AO10" s="9">
        <v>9500</v>
      </c>
      <c r="AP10" s="9">
        <v>4000</v>
      </c>
      <c r="AQ10" s="9">
        <v>9000</v>
      </c>
      <c r="AR10" s="9">
        <v>1500</v>
      </c>
      <c r="AS10" s="9">
        <v>5000</v>
      </c>
      <c r="AT10" s="83"/>
      <c r="AU10" s="86">
        <v>7680</v>
      </c>
      <c r="AV10" s="68">
        <v>3840</v>
      </c>
      <c r="AW10" s="94">
        <v>19800</v>
      </c>
      <c r="AX10" s="95">
        <v>4000</v>
      </c>
      <c r="AY10" s="68">
        <v>40000</v>
      </c>
      <c r="AZ10" s="96"/>
      <c r="BA10" s="21"/>
      <c r="BB10" s="93" t="s">
        <v>38</v>
      </c>
      <c r="BC10" s="10">
        <v>101330</v>
      </c>
      <c r="BD10" s="11"/>
      <c r="BE10" s="29" t="s">
        <v>36</v>
      </c>
      <c r="BF10" s="30">
        <f>BF1+BF3+BF5-BF7+BF15+BF16</f>
        <v>-6564520</v>
      </c>
      <c r="BH10" s="9">
        <v>4500</v>
      </c>
      <c r="BI10" s="9">
        <v>800</v>
      </c>
      <c r="BJ10" s="9">
        <v>26500</v>
      </c>
      <c r="BK10" s="9">
        <v>1000</v>
      </c>
      <c r="BL10" s="9">
        <v>400</v>
      </c>
      <c r="BM10" s="9">
        <v>2000</v>
      </c>
      <c r="BN10" s="9">
        <v>1500</v>
      </c>
      <c r="BO10" s="11"/>
      <c r="BP10" s="68">
        <v>21610</v>
      </c>
      <c r="BQ10" s="68">
        <v>4420</v>
      </c>
      <c r="BR10" s="10"/>
      <c r="BS10" s="10"/>
      <c r="BT10" s="10"/>
      <c r="BU10" s="68">
        <v>2500</v>
      </c>
      <c r="BV10" s="19"/>
      <c r="BW10" s="20" t="s">
        <v>8</v>
      </c>
      <c r="BX10" s="10">
        <v>518050</v>
      </c>
      <c r="BY10" s="11"/>
      <c r="BZ10" s="29" t="s">
        <v>36</v>
      </c>
      <c r="CA10" s="30">
        <f>CA1+CA3+CA5-CA7+CA15+CA16</f>
        <v>606490</v>
      </c>
      <c r="CC10" s="9">
        <v>300</v>
      </c>
      <c r="CD10" s="9">
        <v>13700</v>
      </c>
      <c r="CE10" s="9">
        <v>1800</v>
      </c>
      <c r="CF10" s="9">
        <v>1000</v>
      </c>
      <c r="CG10" s="9">
        <v>1000</v>
      </c>
      <c r="CH10" s="9">
        <v>12000</v>
      </c>
      <c r="CI10" s="9"/>
      <c r="CJ10" s="11"/>
      <c r="CK10" s="68">
        <v>8500</v>
      </c>
      <c r="CL10" s="68">
        <v>20000</v>
      </c>
      <c r="CM10" s="10"/>
      <c r="CN10" s="68">
        <v>2500</v>
      </c>
      <c r="CO10" s="68">
        <v>6000</v>
      </c>
      <c r="CP10" s="10"/>
      <c r="CQ10" s="19"/>
      <c r="CR10" s="20" t="s">
        <v>39</v>
      </c>
      <c r="CS10" s="10">
        <v>122000</v>
      </c>
      <c r="CT10" s="11"/>
      <c r="CU10" s="29" t="s">
        <v>36</v>
      </c>
      <c r="CV10" s="30">
        <f>CV1+CV3+CV5-CV7+CV15+CV16</f>
        <v>-1026560</v>
      </c>
      <c r="CX10" s="42"/>
      <c r="CY10" s="58"/>
      <c r="CZ10" s="59"/>
      <c r="DA10" s="60"/>
    </row>
    <row r="11" ht="15" customHeight="1" spans="1:105">
      <c r="A11" s="9">
        <v>3000</v>
      </c>
      <c r="B11" s="9">
        <v>40000</v>
      </c>
      <c r="C11" s="9">
        <v>3500</v>
      </c>
      <c r="D11" s="9"/>
      <c r="E11" s="9"/>
      <c r="F11" s="9"/>
      <c r="G11" s="9"/>
      <c r="H11" s="11"/>
      <c r="I11" s="68">
        <v>14890</v>
      </c>
      <c r="J11" s="68">
        <v>2500</v>
      </c>
      <c r="K11" s="10"/>
      <c r="L11" s="68">
        <v>55900</v>
      </c>
      <c r="M11" s="19"/>
      <c r="N11" s="81"/>
      <c r="O11" s="10"/>
      <c r="P11" s="11"/>
      <c r="Q11" s="29" t="s">
        <v>40</v>
      </c>
      <c r="R11" s="30">
        <f>R9/7</f>
        <v>349287.142857143</v>
      </c>
      <c r="S11" s="24"/>
      <c r="T11" s="9">
        <v>3000</v>
      </c>
      <c r="U11" s="9">
        <v>2000</v>
      </c>
      <c r="V11" s="9">
        <v>19100</v>
      </c>
      <c r="W11" s="9">
        <v>72600</v>
      </c>
      <c r="X11" s="9">
        <v>1200</v>
      </c>
      <c r="Y11" s="9">
        <v>1200</v>
      </c>
      <c r="Z11" s="9"/>
      <c r="AA11" s="11"/>
      <c r="AB11" s="68">
        <v>14410</v>
      </c>
      <c r="AC11" s="10"/>
      <c r="AD11" s="10"/>
      <c r="AE11" s="68">
        <v>3100</v>
      </c>
      <c r="AF11" s="19"/>
      <c r="AG11" s="81" t="s">
        <v>41</v>
      </c>
      <c r="AH11" s="10">
        <v>561500</v>
      </c>
      <c r="AI11" s="11"/>
      <c r="AJ11" s="29" t="s">
        <v>40</v>
      </c>
      <c r="AK11" s="30">
        <f>AK9/7</f>
        <v>748428.571428571</v>
      </c>
      <c r="AM11" s="9">
        <v>1000</v>
      </c>
      <c r="AN11" s="9">
        <v>800</v>
      </c>
      <c r="AO11" s="9">
        <v>1500</v>
      </c>
      <c r="AP11" s="9">
        <v>5000</v>
      </c>
      <c r="AQ11" s="9">
        <v>1500</v>
      </c>
      <c r="AR11" s="9">
        <v>5500</v>
      </c>
      <c r="AS11" s="9">
        <v>10000</v>
      </c>
      <c r="AT11" s="83"/>
      <c r="AU11" s="86">
        <v>11500</v>
      </c>
      <c r="AV11" s="68">
        <v>27380</v>
      </c>
      <c r="AW11" s="94">
        <v>3700</v>
      </c>
      <c r="AX11" s="95">
        <v>7200</v>
      </c>
      <c r="AY11" s="68">
        <v>25000</v>
      </c>
      <c r="AZ11" s="96"/>
      <c r="BA11" s="21"/>
      <c r="BB11" s="93" t="s">
        <v>42</v>
      </c>
      <c r="BC11" s="10">
        <v>174400</v>
      </c>
      <c r="BD11" s="11"/>
      <c r="BE11" s="29" t="s">
        <v>40</v>
      </c>
      <c r="BF11" s="30">
        <f>BF9/7</f>
        <v>587931.428571429</v>
      </c>
      <c r="BH11" s="9">
        <v>900</v>
      </c>
      <c r="BI11" s="9">
        <v>5500</v>
      </c>
      <c r="BJ11" s="9">
        <v>3500</v>
      </c>
      <c r="BK11" s="9">
        <v>12800</v>
      </c>
      <c r="BL11" s="9">
        <v>7000</v>
      </c>
      <c r="BM11" s="9">
        <v>4500</v>
      </c>
      <c r="BN11" s="9">
        <v>12500</v>
      </c>
      <c r="BO11" s="11"/>
      <c r="BP11" s="68">
        <v>25000</v>
      </c>
      <c r="BQ11" s="68">
        <v>18800</v>
      </c>
      <c r="BR11" s="10"/>
      <c r="BS11" s="10"/>
      <c r="BT11" s="10"/>
      <c r="BU11" s="10"/>
      <c r="BV11" s="19"/>
      <c r="BW11" s="20" t="s">
        <v>43</v>
      </c>
      <c r="BX11" s="10">
        <v>40500</v>
      </c>
      <c r="BY11" s="11"/>
      <c r="BZ11" s="29" t="s">
        <v>40</v>
      </c>
      <c r="CA11" s="30">
        <f>CA9/7</f>
        <v>620410</v>
      </c>
      <c r="CC11" s="9">
        <v>2700</v>
      </c>
      <c r="CD11" s="9">
        <v>3500</v>
      </c>
      <c r="CE11" s="9">
        <v>3300</v>
      </c>
      <c r="CF11" s="9">
        <v>2500</v>
      </c>
      <c r="CG11" s="9">
        <v>5000</v>
      </c>
      <c r="CH11" s="9">
        <v>6500</v>
      </c>
      <c r="CI11" s="9"/>
      <c r="CJ11" s="11"/>
      <c r="CK11" s="68">
        <v>7200</v>
      </c>
      <c r="CL11" s="68">
        <v>6000</v>
      </c>
      <c r="CM11" s="10"/>
      <c r="CN11" s="68">
        <v>10000</v>
      </c>
      <c r="CO11" s="68">
        <v>4000</v>
      </c>
      <c r="CP11" s="10"/>
      <c r="CQ11" s="19"/>
      <c r="CR11" s="20" t="s">
        <v>8</v>
      </c>
      <c r="CS11" s="10">
        <v>555620</v>
      </c>
      <c r="CT11" s="11"/>
      <c r="CU11" s="29" t="s">
        <v>40</v>
      </c>
      <c r="CV11" s="30">
        <f>CV9/7</f>
        <v>453480</v>
      </c>
      <c r="CX11" s="43" t="s">
        <v>36</v>
      </c>
      <c r="CY11" s="61"/>
      <c r="CZ11" s="62">
        <f>CZ9-CZ7</f>
        <v>-7561600</v>
      </c>
      <c r="DA11" s="63"/>
    </row>
    <row r="12" ht="15" customHeight="1" spans="1:105">
      <c r="A12" s="9">
        <v>5000</v>
      </c>
      <c r="B12" s="9">
        <v>1500</v>
      </c>
      <c r="C12" s="9">
        <v>12000</v>
      </c>
      <c r="D12" s="9"/>
      <c r="E12" s="9"/>
      <c r="F12" s="9"/>
      <c r="G12" s="9"/>
      <c r="H12" s="11"/>
      <c r="I12" s="68">
        <v>13000</v>
      </c>
      <c r="J12" s="68">
        <v>6240</v>
      </c>
      <c r="K12" s="10"/>
      <c r="L12" s="68">
        <v>3000</v>
      </c>
      <c r="M12" s="19"/>
      <c r="N12" s="81"/>
      <c r="O12" s="10"/>
      <c r="P12" s="11"/>
      <c r="Q12" s="24"/>
      <c r="R12" s="24"/>
      <c r="S12" s="24"/>
      <c r="T12" s="9">
        <v>7000</v>
      </c>
      <c r="U12" s="9">
        <v>8500</v>
      </c>
      <c r="V12" s="9">
        <v>1000</v>
      </c>
      <c r="W12" s="9">
        <v>9800</v>
      </c>
      <c r="X12" s="9">
        <v>2000</v>
      </c>
      <c r="Y12" s="9"/>
      <c r="Z12" s="9"/>
      <c r="AA12" s="11"/>
      <c r="AB12" s="68">
        <v>6600</v>
      </c>
      <c r="AC12" s="10"/>
      <c r="AD12" s="10"/>
      <c r="AE12" s="68">
        <v>7000</v>
      </c>
      <c r="AF12" s="19"/>
      <c r="AG12" s="81" t="s">
        <v>44</v>
      </c>
      <c r="AH12" s="10">
        <v>124200</v>
      </c>
      <c r="AI12" s="11"/>
      <c r="AJ12" s="24"/>
      <c r="AK12" s="24"/>
      <c r="AM12" s="9">
        <v>4500</v>
      </c>
      <c r="AN12" s="9">
        <v>5000</v>
      </c>
      <c r="AO12" s="9">
        <v>2400</v>
      </c>
      <c r="AP12" s="9">
        <v>11000</v>
      </c>
      <c r="AQ12" s="9">
        <v>4500</v>
      </c>
      <c r="AR12" s="9">
        <v>1000</v>
      </c>
      <c r="AS12" s="9">
        <v>9500</v>
      </c>
      <c r="AT12" s="83"/>
      <c r="AU12" s="86">
        <v>6800</v>
      </c>
      <c r="AV12" s="68">
        <v>17290</v>
      </c>
      <c r="AW12" s="94">
        <v>34000</v>
      </c>
      <c r="AX12" s="95">
        <v>10000</v>
      </c>
      <c r="AY12" s="68">
        <v>4500</v>
      </c>
      <c r="AZ12" s="96"/>
      <c r="BA12" s="21"/>
      <c r="BB12" s="93" t="s">
        <v>12</v>
      </c>
      <c r="BC12" s="10">
        <v>157100</v>
      </c>
      <c r="BD12" s="11"/>
      <c r="BE12" s="24"/>
      <c r="BF12" s="24"/>
      <c r="BH12" s="9">
        <v>5500</v>
      </c>
      <c r="BI12" s="9">
        <v>900</v>
      </c>
      <c r="BJ12" s="9">
        <v>1200</v>
      </c>
      <c r="BK12" s="9">
        <v>500</v>
      </c>
      <c r="BL12" s="9">
        <v>800</v>
      </c>
      <c r="BM12" s="9">
        <v>8000</v>
      </c>
      <c r="BN12" s="9">
        <v>22500</v>
      </c>
      <c r="BO12" s="11"/>
      <c r="BP12" s="68">
        <v>1000</v>
      </c>
      <c r="BQ12" s="68">
        <v>12490</v>
      </c>
      <c r="BR12" s="10"/>
      <c r="BS12" s="10"/>
      <c r="BT12" s="10"/>
      <c r="BU12" s="10"/>
      <c r="BV12" s="19"/>
      <c r="BW12" s="20" t="s">
        <v>45</v>
      </c>
      <c r="BX12" s="10">
        <v>30000</v>
      </c>
      <c r="BY12" s="11"/>
      <c r="BZ12" s="24"/>
      <c r="CA12" s="24"/>
      <c r="CB12" s="24"/>
      <c r="CC12" s="9">
        <v>3000</v>
      </c>
      <c r="CD12" s="9">
        <v>11900</v>
      </c>
      <c r="CE12" s="9">
        <v>15000</v>
      </c>
      <c r="CF12" s="9">
        <v>21000</v>
      </c>
      <c r="CG12" s="9">
        <v>14000</v>
      </c>
      <c r="CH12" s="9">
        <v>4500</v>
      </c>
      <c r="CI12" s="9"/>
      <c r="CJ12" s="11"/>
      <c r="CK12" s="68">
        <v>6000</v>
      </c>
      <c r="CL12" s="68">
        <v>17100</v>
      </c>
      <c r="CM12" s="10"/>
      <c r="CN12" s="68">
        <v>5000</v>
      </c>
      <c r="CO12" s="68">
        <v>2500</v>
      </c>
      <c r="CP12" s="10"/>
      <c r="CQ12" s="19"/>
      <c r="CR12" s="20" t="s">
        <v>10</v>
      </c>
      <c r="CS12" s="10">
        <v>72000</v>
      </c>
      <c r="CT12" s="11"/>
      <c r="CU12" s="24"/>
      <c r="CV12" s="24"/>
      <c r="CX12" s="44"/>
      <c r="CY12" s="64"/>
      <c r="CZ12" s="65"/>
      <c r="DA12" s="66"/>
    </row>
    <row r="13" ht="15.6" spans="1:100">
      <c r="A13" s="9">
        <v>5000</v>
      </c>
      <c r="B13" s="9">
        <v>2200</v>
      </c>
      <c r="C13" s="9">
        <v>1800</v>
      </c>
      <c r="D13" s="9"/>
      <c r="E13" s="9"/>
      <c r="F13" s="9"/>
      <c r="G13" s="9"/>
      <c r="H13" s="11"/>
      <c r="I13" s="68">
        <v>5770</v>
      </c>
      <c r="J13" s="68">
        <v>11000</v>
      </c>
      <c r="K13" s="10"/>
      <c r="L13" s="68">
        <v>8000</v>
      </c>
      <c r="M13" s="19"/>
      <c r="N13" s="81"/>
      <c r="O13" s="10"/>
      <c r="P13" s="11"/>
      <c r="Q13" s="24"/>
      <c r="R13" s="31"/>
      <c r="S13" s="24"/>
      <c r="T13" s="9">
        <v>2000</v>
      </c>
      <c r="U13" s="9">
        <v>600</v>
      </c>
      <c r="V13" s="9">
        <v>4000</v>
      </c>
      <c r="W13" s="9">
        <v>1400</v>
      </c>
      <c r="X13" s="9">
        <v>500</v>
      </c>
      <c r="Y13" s="9"/>
      <c r="Z13" s="9"/>
      <c r="AA13" s="11"/>
      <c r="AB13" s="68">
        <v>5760</v>
      </c>
      <c r="AC13" s="10"/>
      <c r="AD13" s="10"/>
      <c r="AE13" s="68">
        <v>7000</v>
      </c>
      <c r="AF13" s="19"/>
      <c r="AG13" s="81" t="s">
        <v>46</v>
      </c>
      <c r="AH13" s="10">
        <v>9000</v>
      </c>
      <c r="AI13" s="11"/>
      <c r="AJ13" s="24"/>
      <c r="AK13" s="31"/>
      <c r="AM13" s="9">
        <v>29000</v>
      </c>
      <c r="AN13" s="9">
        <v>1300</v>
      </c>
      <c r="AO13" s="9">
        <v>4500</v>
      </c>
      <c r="AP13" s="9">
        <v>4200</v>
      </c>
      <c r="AQ13" s="9">
        <v>11000</v>
      </c>
      <c r="AR13" s="9">
        <v>3000</v>
      </c>
      <c r="AS13" s="9">
        <v>3000</v>
      </c>
      <c r="AT13" s="83"/>
      <c r="AU13" s="86">
        <v>5500</v>
      </c>
      <c r="AV13" s="68">
        <v>19700</v>
      </c>
      <c r="AW13" s="94">
        <v>19000</v>
      </c>
      <c r="AX13" s="95">
        <v>6000</v>
      </c>
      <c r="AY13" s="68">
        <v>5000</v>
      </c>
      <c r="AZ13" s="96"/>
      <c r="BA13" s="21"/>
      <c r="BB13" s="93" t="s">
        <v>31</v>
      </c>
      <c r="BC13" s="10">
        <v>45300</v>
      </c>
      <c r="BD13" s="11"/>
      <c r="BE13" s="24"/>
      <c r="BF13" s="31"/>
      <c r="BH13" s="9">
        <v>5000</v>
      </c>
      <c r="BI13" s="9">
        <v>7000</v>
      </c>
      <c r="BJ13" s="9">
        <v>3000</v>
      </c>
      <c r="BK13" s="9">
        <v>3500</v>
      </c>
      <c r="BL13" s="9">
        <v>5500</v>
      </c>
      <c r="BM13" s="9">
        <v>3000</v>
      </c>
      <c r="BN13" s="9">
        <v>4500</v>
      </c>
      <c r="BO13" s="11"/>
      <c r="BP13" s="68">
        <v>36000</v>
      </c>
      <c r="BQ13" s="68">
        <v>11000</v>
      </c>
      <c r="BR13" s="10"/>
      <c r="BS13" s="10"/>
      <c r="BT13" s="10"/>
      <c r="BU13" s="10"/>
      <c r="BV13" s="19"/>
      <c r="BW13" s="20" t="s">
        <v>14</v>
      </c>
      <c r="BX13" s="10">
        <v>800880</v>
      </c>
      <c r="BY13" s="11"/>
      <c r="BZ13" s="24"/>
      <c r="CA13" s="31"/>
      <c r="CB13" s="31"/>
      <c r="CC13" s="9">
        <v>15000</v>
      </c>
      <c r="CD13" s="9">
        <v>3500</v>
      </c>
      <c r="CE13" s="9">
        <v>2000</v>
      </c>
      <c r="CF13" s="9">
        <v>10000</v>
      </c>
      <c r="CG13" s="9">
        <v>2750</v>
      </c>
      <c r="CH13" s="9">
        <v>80000</v>
      </c>
      <c r="CI13" s="9"/>
      <c r="CJ13" s="11"/>
      <c r="CK13" s="68">
        <v>3700</v>
      </c>
      <c r="CL13" s="68">
        <v>1000</v>
      </c>
      <c r="CM13" s="10"/>
      <c r="CN13" s="68">
        <v>3500</v>
      </c>
      <c r="CO13" s="68">
        <v>1000</v>
      </c>
      <c r="CP13" s="10"/>
      <c r="CQ13" s="19"/>
      <c r="CR13" s="20" t="s">
        <v>47</v>
      </c>
      <c r="CS13" s="10">
        <v>102000</v>
      </c>
      <c r="CT13" s="11"/>
      <c r="CU13" s="24"/>
      <c r="CV13" s="31"/>
    </row>
    <row r="14" ht="15.6" spans="1:100">
      <c r="A14" s="9">
        <v>1000</v>
      </c>
      <c r="B14" s="9">
        <v>4500</v>
      </c>
      <c r="C14" s="9">
        <v>55000</v>
      </c>
      <c r="D14" s="9"/>
      <c r="E14" s="9"/>
      <c r="F14" s="9"/>
      <c r="G14" s="9"/>
      <c r="H14" s="11"/>
      <c r="I14" s="68">
        <v>60980</v>
      </c>
      <c r="J14" s="68">
        <v>1000</v>
      </c>
      <c r="K14" s="10"/>
      <c r="L14" s="68">
        <v>5100</v>
      </c>
      <c r="M14" s="19"/>
      <c r="N14" s="81"/>
      <c r="O14" s="10"/>
      <c r="P14" s="11"/>
      <c r="Q14" s="24"/>
      <c r="R14" s="24"/>
      <c r="S14" s="24"/>
      <c r="T14" s="9">
        <v>4500</v>
      </c>
      <c r="U14" s="9">
        <v>400</v>
      </c>
      <c r="V14" s="9">
        <v>3000</v>
      </c>
      <c r="W14" s="9">
        <v>11000</v>
      </c>
      <c r="X14" s="9">
        <v>1500</v>
      </c>
      <c r="Y14" s="9"/>
      <c r="Z14" s="9"/>
      <c r="AA14" s="11"/>
      <c r="AB14" s="68">
        <v>12010</v>
      </c>
      <c r="AC14" s="10"/>
      <c r="AD14" s="10"/>
      <c r="AE14" s="68">
        <v>14000</v>
      </c>
      <c r="AF14" s="19"/>
      <c r="AG14" s="81" t="s">
        <v>48</v>
      </c>
      <c r="AH14" s="10">
        <v>112500</v>
      </c>
      <c r="AI14" s="11"/>
      <c r="AJ14" s="24"/>
      <c r="AK14" s="24"/>
      <c r="AM14" s="9">
        <v>1500</v>
      </c>
      <c r="AN14" s="9">
        <v>750</v>
      </c>
      <c r="AO14" s="9">
        <v>6000</v>
      </c>
      <c r="AP14" s="9">
        <v>4000</v>
      </c>
      <c r="AQ14" s="9">
        <v>2000</v>
      </c>
      <c r="AR14" s="9">
        <v>8500</v>
      </c>
      <c r="AS14" s="9">
        <v>2500</v>
      </c>
      <c r="AT14" s="83"/>
      <c r="AU14" s="86">
        <v>3000</v>
      </c>
      <c r="AV14" s="68">
        <v>5090</v>
      </c>
      <c r="AW14" s="94">
        <v>5940</v>
      </c>
      <c r="AX14" s="95">
        <v>5500</v>
      </c>
      <c r="AY14" s="68">
        <v>2000</v>
      </c>
      <c r="AZ14" s="96"/>
      <c r="BA14" s="21"/>
      <c r="BB14" s="93" t="s">
        <v>5</v>
      </c>
      <c r="BC14" s="10">
        <v>646000</v>
      </c>
      <c r="BD14" s="11"/>
      <c r="BE14" s="24"/>
      <c r="BF14" s="24"/>
      <c r="BH14" s="9">
        <v>8500</v>
      </c>
      <c r="BI14" s="9">
        <v>8000</v>
      </c>
      <c r="BJ14" s="9">
        <v>3500</v>
      </c>
      <c r="BK14" s="9">
        <v>8400</v>
      </c>
      <c r="BL14" s="9">
        <v>6500</v>
      </c>
      <c r="BM14" s="9">
        <v>2400</v>
      </c>
      <c r="BN14" s="9">
        <v>3800</v>
      </c>
      <c r="BO14" s="11"/>
      <c r="BP14" s="68">
        <v>3000</v>
      </c>
      <c r="BQ14" s="68">
        <v>26500</v>
      </c>
      <c r="BR14" s="10"/>
      <c r="BS14" s="10"/>
      <c r="BT14" s="10"/>
      <c r="BU14" s="10"/>
      <c r="BV14" s="19"/>
      <c r="BW14" s="20" t="s">
        <v>12</v>
      </c>
      <c r="BX14" s="10">
        <v>85500</v>
      </c>
      <c r="BY14" s="11"/>
      <c r="BZ14" s="24"/>
      <c r="CA14" s="24"/>
      <c r="CB14" s="24"/>
      <c r="CC14" s="9">
        <v>5000</v>
      </c>
      <c r="CD14" s="9">
        <v>53500</v>
      </c>
      <c r="CE14" s="9">
        <v>6500</v>
      </c>
      <c r="CF14" s="9">
        <v>5500</v>
      </c>
      <c r="CG14" s="9">
        <v>2400</v>
      </c>
      <c r="CH14" s="9">
        <v>6000</v>
      </c>
      <c r="CI14" s="9"/>
      <c r="CJ14" s="11"/>
      <c r="CK14" s="68">
        <v>6720</v>
      </c>
      <c r="CL14" s="68">
        <v>9400</v>
      </c>
      <c r="CM14" s="10"/>
      <c r="CN14" s="68">
        <v>3500</v>
      </c>
      <c r="CO14" s="68">
        <v>28000</v>
      </c>
      <c r="CP14" s="10"/>
      <c r="CQ14" s="19"/>
      <c r="CR14" s="20" t="s">
        <v>49</v>
      </c>
      <c r="CS14" s="10">
        <v>66800</v>
      </c>
      <c r="CT14" s="11"/>
      <c r="CU14" s="24"/>
      <c r="CV14" s="24"/>
    </row>
    <row r="15" ht="15.75" customHeight="1" spans="1:100">
      <c r="A15" s="9">
        <v>6500</v>
      </c>
      <c r="B15" s="9">
        <v>2300</v>
      </c>
      <c r="C15" s="9">
        <v>40000</v>
      </c>
      <c r="D15" s="9"/>
      <c r="E15" s="9"/>
      <c r="F15" s="9"/>
      <c r="G15" s="9"/>
      <c r="H15" s="11"/>
      <c r="I15" s="68">
        <v>2970</v>
      </c>
      <c r="J15" s="68">
        <v>3200</v>
      </c>
      <c r="K15" s="10"/>
      <c r="L15" s="68">
        <v>4000</v>
      </c>
      <c r="M15" s="19"/>
      <c r="N15" s="81"/>
      <c r="O15" s="10"/>
      <c r="P15" s="11"/>
      <c r="Q15" s="32" t="s">
        <v>50</v>
      </c>
      <c r="R15" s="33">
        <v>2087220</v>
      </c>
      <c r="S15" s="24"/>
      <c r="T15" s="9">
        <v>9000</v>
      </c>
      <c r="U15" s="9">
        <v>3000</v>
      </c>
      <c r="V15" s="9">
        <v>4500</v>
      </c>
      <c r="W15" s="9">
        <v>6000</v>
      </c>
      <c r="X15" s="9">
        <v>1800</v>
      </c>
      <c r="Y15" s="9"/>
      <c r="Z15" s="9"/>
      <c r="AA15" s="11"/>
      <c r="AB15" s="68">
        <v>22100</v>
      </c>
      <c r="AC15" s="10"/>
      <c r="AD15" s="10"/>
      <c r="AE15" s="68">
        <v>10000</v>
      </c>
      <c r="AF15" s="19"/>
      <c r="AG15" s="81" t="s">
        <v>51</v>
      </c>
      <c r="AH15" s="10">
        <v>60000</v>
      </c>
      <c r="AI15" s="11"/>
      <c r="AJ15" s="32" t="s">
        <v>50</v>
      </c>
      <c r="AK15" s="33">
        <v>2297710</v>
      </c>
      <c r="AM15" s="9">
        <v>3000</v>
      </c>
      <c r="AN15" s="9">
        <v>8000</v>
      </c>
      <c r="AO15" s="9">
        <v>2000</v>
      </c>
      <c r="AP15" s="9">
        <v>8000</v>
      </c>
      <c r="AQ15" s="9">
        <v>2250</v>
      </c>
      <c r="AR15" s="9">
        <v>1000</v>
      </c>
      <c r="AS15" s="9">
        <v>5000</v>
      </c>
      <c r="AT15" s="83"/>
      <c r="AU15" s="86">
        <v>6500</v>
      </c>
      <c r="AV15" s="68">
        <v>16530</v>
      </c>
      <c r="AW15" s="94">
        <v>3070</v>
      </c>
      <c r="AX15" s="95">
        <v>15700</v>
      </c>
      <c r="AY15" s="68">
        <v>7000</v>
      </c>
      <c r="AZ15" s="96"/>
      <c r="BA15" s="21"/>
      <c r="BB15" s="93" t="s">
        <v>37</v>
      </c>
      <c r="BC15" s="10">
        <v>439100</v>
      </c>
      <c r="BD15" s="11"/>
      <c r="BE15" s="32" t="s">
        <v>50</v>
      </c>
      <c r="BF15" s="33">
        <v>595050</v>
      </c>
      <c r="BH15" s="9">
        <v>25000</v>
      </c>
      <c r="BI15" s="9">
        <v>2500</v>
      </c>
      <c r="BJ15" s="9">
        <v>6500</v>
      </c>
      <c r="BK15" s="9">
        <v>5500</v>
      </c>
      <c r="BL15" s="9">
        <v>8000</v>
      </c>
      <c r="BM15" s="9">
        <v>600</v>
      </c>
      <c r="BN15" s="9">
        <v>1800</v>
      </c>
      <c r="BO15" s="11"/>
      <c r="BP15" s="68">
        <v>7200</v>
      </c>
      <c r="BQ15" s="68">
        <v>13500</v>
      </c>
      <c r="BR15" s="10"/>
      <c r="BS15" s="10"/>
      <c r="BT15" s="10"/>
      <c r="BU15" s="10"/>
      <c r="BV15" s="19"/>
      <c r="BW15" s="20" t="s">
        <v>52</v>
      </c>
      <c r="BX15" s="10">
        <v>15000</v>
      </c>
      <c r="BY15" s="11"/>
      <c r="BZ15" s="32" t="s">
        <v>50</v>
      </c>
      <c r="CA15" s="33">
        <v>287290</v>
      </c>
      <c r="CB15" s="24"/>
      <c r="CC15" s="9">
        <v>8300</v>
      </c>
      <c r="CD15" s="9">
        <v>6500</v>
      </c>
      <c r="CE15" s="9">
        <v>6000</v>
      </c>
      <c r="CF15" s="9">
        <v>5000</v>
      </c>
      <c r="CG15" s="9">
        <v>3000</v>
      </c>
      <c r="CH15" s="9">
        <v>5000</v>
      </c>
      <c r="CI15" s="9"/>
      <c r="CJ15" s="11"/>
      <c r="CK15" s="68">
        <v>6100</v>
      </c>
      <c r="CL15" s="68">
        <v>12000</v>
      </c>
      <c r="CM15" s="10"/>
      <c r="CN15" s="68">
        <v>3600</v>
      </c>
      <c r="CO15" s="68">
        <v>59500</v>
      </c>
      <c r="CP15" s="10"/>
      <c r="CQ15" s="19"/>
      <c r="CR15" s="20"/>
      <c r="CS15" s="10"/>
      <c r="CT15" s="11"/>
      <c r="CU15" s="32" t="s">
        <v>50</v>
      </c>
      <c r="CV15" s="33">
        <v>59030</v>
      </c>
    </row>
    <row r="16" ht="15" customHeight="1" spans="1:100">
      <c r="A16" s="9">
        <v>5000</v>
      </c>
      <c r="B16" s="9">
        <v>4000</v>
      </c>
      <c r="C16" s="9">
        <v>3000</v>
      </c>
      <c r="D16" s="9"/>
      <c r="E16" s="9"/>
      <c r="F16" s="9"/>
      <c r="G16" s="9"/>
      <c r="H16" s="11"/>
      <c r="I16" s="68">
        <v>1540</v>
      </c>
      <c r="J16" s="68">
        <v>10000</v>
      </c>
      <c r="K16" s="10"/>
      <c r="L16" s="68">
        <v>9600</v>
      </c>
      <c r="M16" s="21"/>
      <c r="N16" s="81"/>
      <c r="O16" s="10"/>
      <c r="P16" s="11"/>
      <c r="Q16" s="32" t="s">
        <v>53</v>
      </c>
      <c r="R16" s="33"/>
      <c r="S16" s="24"/>
      <c r="T16" s="9">
        <v>20000</v>
      </c>
      <c r="U16" s="9">
        <v>1500</v>
      </c>
      <c r="V16" s="9">
        <v>1700</v>
      </c>
      <c r="W16" s="9">
        <v>57000</v>
      </c>
      <c r="X16" s="9">
        <v>5000</v>
      </c>
      <c r="Y16" s="9"/>
      <c r="Z16" s="9"/>
      <c r="AA16" s="11"/>
      <c r="AB16" s="68">
        <v>24020</v>
      </c>
      <c r="AC16" s="10"/>
      <c r="AD16" s="10"/>
      <c r="AE16" s="68">
        <v>12300</v>
      </c>
      <c r="AF16" s="21"/>
      <c r="AG16" s="81" t="s">
        <v>10</v>
      </c>
      <c r="AH16" s="10">
        <v>61600</v>
      </c>
      <c r="AI16" s="11"/>
      <c r="AJ16" s="32" t="s">
        <v>53</v>
      </c>
      <c r="AK16" s="33">
        <v>531510</v>
      </c>
      <c r="AM16" s="9">
        <v>800</v>
      </c>
      <c r="AN16" s="9">
        <v>3700</v>
      </c>
      <c r="AO16" s="9">
        <v>3000</v>
      </c>
      <c r="AP16" s="9">
        <v>200000</v>
      </c>
      <c r="AQ16" s="9">
        <v>3000</v>
      </c>
      <c r="AR16" s="9">
        <v>2500</v>
      </c>
      <c r="AS16" s="9">
        <v>2000</v>
      </c>
      <c r="AT16" s="83"/>
      <c r="AU16" s="86">
        <v>1920</v>
      </c>
      <c r="AV16" s="68">
        <v>2000</v>
      </c>
      <c r="AW16" s="94">
        <v>1540</v>
      </c>
      <c r="AX16" s="95">
        <v>5600</v>
      </c>
      <c r="AY16" s="68">
        <v>6500</v>
      </c>
      <c r="AZ16" s="96"/>
      <c r="BA16" s="21"/>
      <c r="BB16" s="93" t="s">
        <v>54</v>
      </c>
      <c r="BC16" s="10">
        <v>180000</v>
      </c>
      <c r="BD16" s="11"/>
      <c r="BE16" s="32" t="s">
        <v>53</v>
      </c>
      <c r="BF16" s="33">
        <v>131480</v>
      </c>
      <c r="BH16" s="9">
        <v>3800</v>
      </c>
      <c r="BI16" s="9">
        <v>40000</v>
      </c>
      <c r="BJ16" s="9">
        <v>2500</v>
      </c>
      <c r="BK16" s="9">
        <v>800</v>
      </c>
      <c r="BL16" s="9">
        <v>1200</v>
      </c>
      <c r="BM16" s="9">
        <v>7000</v>
      </c>
      <c r="BN16" s="9">
        <v>600</v>
      </c>
      <c r="BO16" s="11"/>
      <c r="BP16" s="68">
        <v>32800</v>
      </c>
      <c r="BQ16" s="68">
        <v>24260</v>
      </c>
      <c r="BR16" s="10"/>
      <c r="BS16" s="10"/>
      <c r="BT16" s="10"/>
      <c r="BU16" s="10"/>
      <c r="BV16" s="21"/>
      <c r="BW16" s="20"/>
      <c r="BX16" s="10"/>
      <c r="BY16" s="11"/>
      <c r="BZ16" s="32" t="s">
        <v>53</v>
      </c>
      <c r="CA16" s="33">
        <v>807730</v>
      </c>
      <c r="CB16" s="31"/>
      <c r="CC16" s="9">
        <v>2000</v>
      </c>
      <c r="CD16" s="9">
        <v>1000</v>
      </c>
      <c r="CE16" s="9">
        <v>4500</v>
      </c>
      <c r="CF16" s="9">
        <v>9000</v>
      </c>
      <c r="CG16" s="9">
        <v>4000</v>
      </c>
      <c r="CH16" s="9">
        <v>2000</v>
      </c>
      <c r="CI16" s="9"/>
      <c r="CJ16" s="11"/>
      <c r="CK16" s="68">
        <v>7690</v>
      </c>
      <c r="CL16" s="68">
        <v>7000</v>
      </c>
      <c r="CM16" s="10"/>
      <c r="CN16" s="68">
        <v>7200</v>
      </c>
      <c r="CO16" s="68">
        <v>11000</v>
      </c>
      <c r="CP16" s="10"/>
      <c r="CQ16" s="21"/>
      <c r="CR16" s="20"/>
      <c r="CS16" s="10"/>
      <c r="CT16" s="11"/>
      <c r="CU16" s="32" t="s">
        <v>53</v>
      </c>
      <c r="CV16" s="33"/>
    </row>
    <row r="17" ht="15.75" customHeight="1" spans="1:100">
      <c r="A17" s="9">
        <v>25600</v>
      </c>
      <c r="B17" s="9">
        <v>14000</v>
      </c>
      <c r="C17" s="9">
        <v>4500</v>
      </c>
      <c r="D17" s="9"/>
      <c r="E17" s="9"/>
      <c r="F17" s="9"/>
      <c r="G17" s="9"/>
      <c r="H17" s="11"/>
      <c r="I17" s="68">
        <v>4800</v>
      </c>
      <c r="J17" s="68">
        <v>16810</v>
      </c>
      <c r="K17" s="10"/>
      <c r="L17" s="68">
        <v>6000</v>
      </c>
      <c r="M17" s="21"/>
      <c r="N17" s="81"/>
      <c r="O17" s="10"/>
      <c r="P17" s="11"/>
      <c r="Q17" s="24"/>
      <c r="R17" s="31">
        <v>149470</v>
      </c>
      <c r="S17" s="24"/>
      <c r="T17" s="9">
        <v>3500</v>
      </c>
      <c r="U17" s="9">
        <v>5600</v>
      </c>
      <c r="V17" s="9">
        <v>400</v>
      </c>
      <c r="W17" s="9">
        <v>80000</v>
      </c>
      <c r="X17" s="9">
        <v>1500</v>
      </c>
      <c r="Y17" s="9"/>
      <c r="Z17" s="9"/>
      <c r="AA17" s="11"/>
      <c r="AB17" s="10"/>
      <c r="AC17" s="10"/>
      <c r="AD17" s="10"/>
      <c r="AE17" s="10"/>
      <c r="AF17" s="21"/>
      <c r="AG17" s="81" t="s">
        <v>29</v>
      </c>
      <c r="AH17" s="10">
        <v>400000</v>
      </c>
      <c r="AI17" s="11"/>
      <c r="AJ17" s="24"/>
      <c r="AK17" s="31"/>
      <c r="AM17" s="9">
        <v>7000</v>
      </c>
      <c r="AN17" s="9">
        <v>400</v>
      </c>
      <c r="AO17" s="9">
        <v>1000</v>
      </c>
      <c r="AP17" s="9">
        <v>8500</v>
      </c>
      <c r="AQ17" s="9">
        <v>4000</v>
      </c>
      <c r="AR17" s="9">
        <v>1500</v>
      </c>
      <c r="AS17" s="9"/>
      <c r="AT17" s="83"/>
      <c r="AU17" s="86">
        <v>6250</v>
      </c>
      <c r="AV17" s="68">
        <v>3960</v>
      </c>
      <c r="AW17" s="94">
        <v>4000</v>
      </c>
      <c r="AX17" s="95">
        <v>2300</v>
      </c>
      <c r="AY17" s="68">
        <v>3000</v>
      </c>
      <c r="AZ17" s="96"/>
      <c r="BA17" s="21"/>
      <c r="BB17" s="93"/>
      <c r="BC17" s="10"/>
      <c r="BD17" s="11"/>
      <c r="BE17" s="24"/>
      <c r="BF17" s="31"/>
      <c r="BH17" s="9">
        <v>2000</v>
      </c>
      <c r="BI17" s="9">
        <v>16000</v>
      </c>
      <c r="BJ17" s="9">
        <v>8000</v>
      </c>
      <c r="BK17" s="9">
        <v>1300</v>
      </c>
      <c r="BL17" s="9">
        <v>4000</v>
      </c>
      <c r="BM17" s="9">
        <v>4500</v>
      </c>
      <c r="BN17" s="9">
        <v>4000</v>
      </c>
      <c r="BO17" s="11"/>
      <c r="BP17" s="68">
        <v>5500</v>
      </c>
      <c r="BQ17" s="68">
        <v>35000</v>
      </c>
      <c r="BR17" s="10"/>
      <c r="BS17" s="10"/>
      <c r="BT17" s="10"/>
      <c r="BU17" s="10"/>
      <c r="BV17" s="21"/>
      <c r="BW17" s="20"/>
      <c r="BX17" s="10"/>
      <c r="BY17" s="11"/>
      <c r="BZ17" s="24"/>
      <c r="CA17" s="31"/>
      <c r="CB17" s="31"/>
      <c r="CC17" s="9">
        <v>10000</v>
      </c>
      <c r="CD17" s="9">
        <v>1500</v>
      </c>
      <c r="CE17" s="9">
        <v>11500</v>
      </c>
      <c r="CF17" s="9">
        <v>10000</v>
      </c>
      <c r="CG17" s="9">
        <v>6500</v>
      </c>
      <c r="CH17" s="9">
        <v>2400</v>
      </c>
      <c r="CI17" s="9"/>
      <c r="CJ17" s="11"/>
      <c r="CK17" s="68">
        <v>870</v>
      </c>
      <c r="CL17" s="68">
        <v>22000</v>
      </c>
      <c r="CM17" s="10"/>
      <c r="CN17" s="68">
        <v>4000</v>
      </c>
      <c r="CO17" s="68">
        <v>1500</v>
      </c>
      <c r="CP17" s="10"/>
      <c r="CQ17" s="21"/>
      <c r="CR17" s="20"/>
      <c r="CS17" s="10"/>
      <c r="CT17" s="11"/>
      <c r="CU17" s="24"/>
      <c r="CV17" s="31">
        <v>375940</v>
      </c>
    </row>
    <row r="18" ht="15.75" customHeight="1" spans="1:98">
      <c r="A18" s="9">
        <v>1000</v>
      </c>
      <c r="B18" s="9">
        <v>15700</v>
      </c>
      <c r="C18" s="9">
        <v>40000</v>
      </c>
      <c r="D18" s="9"/>
      <c r="E18" s="9"/>
      <c r="F18" s="9"/>
      <c r="G18" s="9"/>
      <c r="H18" s="11"/>
      <c r="I18" s="68">
        <v>16620</v>
      </c>
      <c r="J18" s="68">
        <v>9900</v>
      </c>
      <c r="K18" s="10"/>
      <c r="L18" s="68">
        <v>19000</v>
      </c>
      <c r="M18" s="21"/>
      <c r="N18" s="81"/>
      <c r="O18" s="10"/>
      <c r="P18" s="11"/>
      <c r="S18" s="24"/>
      <c r="T18" s="9">
        <v>15000</v>
      </c>
      <c r="U18" s="9">
        <v>1600</v>
      </c>
      <c r="V18" s="9">
        <v>35000</v>
      </c>
      <c r="W18" s="9">
        <v>14000</v>
      </c>
      <c r="X18" s="9">
        <v>3000</v>
      </c>
      <c r="Y18" s="9"/>
      <c r="Z18" s="9"/>
      <c r="AA18" s="11"/>
      <c r="AB18" s="10"/>
      <c r="AC18" s="10"/>
      <c r="AD18" s="10"/>
      <c r="AE18" s="10"/>
      <c r="AF18" s="21"/>
      <c r="AG18" s="81"/>
      <c r="AH18" s="10"/>
      <c r="AI18" s="11"/>
      <c r="AM18" s="9">
        <v>25000</v>
      </c>
      <c r="AN18" s="9">
        <v>5500</v>
      </c>
      <c r="AO18" s="9">
        <v>12000</v>
      </c>
      <c r="AP18" s="9">
        <v>500</v>
      </c>
      <c r="AQ18" s="9">
        <v>8300</v>
      </c>
      <c r="AR18" s="9">
        <v>35000</v>
      </c>
      <c r="AS18" s="9"/>
      <c r="AT18" s="83"/>
      <c r="AU18" s="86">
        <v>40650</v>
      </c>
      <c r="AV18" s="68">
        <v>14410</v>
      </c>
      <c r="AW18" s="94">
        <v>1480</v>
      </c>
      <c r="AX18" s="95">
        <v>21500</v>
      </c>
      <c r="AY18" s="68">
        <v>4000</v>
      </c>
      <c r="AZ18" s="96"/>
      <c r="BA18" s="21"/>
      <c r="BB18" s="93"/>
      <c r="BC18" s="10"/>
      <c r="BD18" s="11"/>
      <c r="BH18" s="9">
        <v>11750</v>
      </c>
      <c r="BI18" s="9">
        <v>5000</v>
      </c>
      <c r="BJ18" s="9">
        <v>3000</v>
      </c>
      <c r="BK18" s="9">
        <v>1800</v>
      </c>
      <c r="BL18" s="9">
        <v>12600</v>
      </c>
      <c r="BM18" s="9">
        <v>4500</v>
      </c>
      <c r="BN18" s="9">
        <v>8800</v>
      </c>
      <c r="BO18" s="11"/>
      <c r="BP18" s="68">
        <v>22360</v>
      </c>
      <c r="BQ18" s="68">
        <v>18480</v>
      </c>
      <c r="BR18" s="10"/>
      <c r="BS18" s="10"/>
      <c r="BT18" s="10"/>
      <c r="BU18" s="10"/>
      <c r="BV18" s="21"/>
      <c r="BW18" s="20"/>
      <c r="BX18" s="10"/>
      <c r="BY18" s="11"/>
      <c r="CB18" s="24"/>
      <c r="CC18" s="9">
        <v>8500</v>
      </c>
      <c r="CD18" s="9">
        <v>4350</v>
      </c>
      <c r="CE18" s="9">
        <v>17500</v>
      </c>
      <c r="CF18" s="9">
        <v>3500</v>
      </c>
      <c r="CG18" s="9">
        <v>8000</v>
      </c>
      <c r="CH18" s="9">
        <v>26000</v>
      </c>
      <c r="CI18" s="9"/>
      <c r="CJ18" s="11"/>
      <c r="CK18" s="68">
        <v>8650</v>
      </c>
      <c r="CL18" s="68">
        <v>3000</v>
      </c>
      <c r="CM18" s="10"/>
      <c r="CN18" s="68">
        <v>5000</v>
      </c>
      <c r="CO18" s="68">
        <v>2500</v>
      </c>
      <c r="CP18" s="10"/>
      <c r="CQ18" s="21"/>
      <c r="CR18" s="20"/>
      <c r="CS18" s="10"/>
      <c r="CT18" s="11"/>
    </row>
    <row r="19" ht="15.75" customHeight="1" spans="1:100">
      <c r="A19" s="9">
        <v>2000</v>
      </c>
      <c r="B19" s="9">
        <v>600</v>
      </c>
      <c r="C19" s="9">
        <v>3000</v>
      </c>
      <c r="D19" s="9"/>
      <c r="E19" s="9"/>
      <c r="F19" s="9"/>
      <c r="G19" s="9"/>
      <c r="H19" s="11"/>
      <c r="I19" s="68">
        <v>12300</v>
      </c>
      <c r="J19" s="68">
        <v>4500</v>
      </c>
      <c r="K19" s="10"/>
      <c r="L19" s="68">
        <v>5000</v>
      </c>
      <c r="M19" s="21"/>
      <c r="N19" s="81"/>
      <c r="O19" s="10"/>
      <c r="P19" s="11"/>
      <c r="Q19" s="24"/>
      <c r="R19" s="31"/>
      <c r="S19" s="24"/>
      <c r="T19" s="9">
        <v>11000</v>
      </c>
      <c r="U19" s="9">
        <v>1000</v>
      </c>
      <c r="V19" s="9">
        <v>45200</v>
      </c>
      <c r="W19" s="9">
        <v>8700</v>
      </c>
      <c r="X19" s="9">
        <v>34500</v>
      </c>
      <c r="Y19" s="9"/>
      <c r="Z19" s="9"/>
      <c r="AA19" s="11"/>
      <c r="AB19" s="10"/>
      <c r="AC19" s="10"/>
      <c r="AD19" s="10"/>
      <c r="AE19" s="10"/>
      <c r="AF19" s="21"/>
      <c r="AG19" s="81"/>
      <c r="AH19" s="10"/>
      <c r="AI19" s="11"/>
      <c r="AJ19" s="24"/>
      <c r="AK19" s="31"/>
      <c r="AM19" s="9">
        <v>3000</v>
      </c>
      <c r="AN19" s="9">
        <v>3500</v>
      </c>
      <c r="AO19" s="9">
        <v>2300</v>
      </c>
      <c r="AP19" s="9">
        <v>10000</v>
      </c>
      <c r="AQ19" s="9">
        <v>16000</v>
      </c>
      <c r="AR19" s="9">
        <v>6800</v>
      </c>
      <c r="AS19" s="9"/>
      <c r="AT19" s="83"/>
      <c r="AU19" s="86">
        <v>6250</v>
      </c>
      <c r="AV19" s="68">
        <v>3840</v>
      </c>
      <c r="AW19" s="94">
        <v>4000</v>
      </c>
      <c r="AX19" s="95">
        <v>3200</v>
      </c>
      <c r="AY19" s="68">
        <v>10000</v>
      </c>
      <c r="AZ19" s="96"/>
      <c r="BA19" s="21"/>
      <c r="BB19" s="93"/>
      <c r="BC19" s="10"/>
      <c r="BD19" s="11"/>
      <c r="BE19" s="24"/>
      <c r="BF19" s="31"/>
      <c r="BH19" s="9">
        <v>3200</v>
      </c>
      <c r="BI19" s="9">
        <v>1600</v>
      </c>
      <c r="BJ19" s="9">
        <v>22000</v>
      </c>
      <c r="BK19" s="9">
        <v>1800</v>
      </c>
      <c r="BL19" s="9">
        <v>1000</v>
      </c>
      <c r="BM19" s="9">
        <v>1000</v>
      </c>
      <c r="BN19" s="9">
        <v>1000</v>
      </c>
      <c r="BO19" s="11"/>
      <c r="BP19" s="68">
        <v>2210</v>
      </c>
      <c r="BQ19" s="68">
        <v>30000</v>
      </c>
      <c r="BR19" s="10"/>
      <c r="BS19" s="10"/>
      <c r="BT19" s="10"/>
      <c r="BU19" s="10"/>
      <c r="BV19" s="21"/>
      <c r="BW19" s="20"/>
      <c r="BX19" s="10"/>
      <c r="BY19" s="11"/>
      <c r="BZ19" s="24"/>
      <c r="CA19" s="31"/>
      <c r="CB19" s="31"/>
      <c r="CC19" s="9">
        <v>4600</v>
      </c>
      <c r="CD19" s="9">
        <v>29000</v>
      </c>
      <c r="CE19" s="9">
        <v>4000</v>
      </c>
      <c r="CF19" s="9">
        <v>2800</v>
      </c>
      <c r="CG19" s="9">
        <v>4500</v>
      </c>
      <c r="CH19" s="9">
        <v>2000</v>
      </c>
      <c r="CI19" s="9"/>
      <c r="CJ19" s="11"/>
      <c r="CK19" s="68">
        <v>4610</v>
      </c>
      <c r="CL19" s="68">
        <v>6500</v>
      </c>
      <c r="CM19" s="10"/>
      <c r="CN19" s="68">
        <v>4000</v>
      </c>
      <c r="CO19" s="68">
        <v>5000</v>
      </c>
      <c r="CP19" s="10"/>
      <c r="CQ19" s="21"/>
      <c r="CR19" s="20"/>
      <c r="CS19" s="10"/>
      <c r="CT19" s="11"/>
      <c r="CU19" s="24"/>
      <c r="CV19" s="31"/>
    </row>
    <row r="20" ht="15" customHeight="1" spans="1:100">
      <c r="A20" s="9">
        <v>3000</v>
      </c>
      <c r="B20" s="9">
        <v>2000</v>
      </c>
      <c r="C20" s="9">
        <v>1200</v>
      </c>
      <c r="D20" s="9"/>
      <c r="E20" s="9"/>
      <c r="F20" s="9"/>
      <c r="G20" s="9"/>
      <c r="H20" s="11"/>
      <c r="I20" s="68">
        <v>1200</v>
      </c>
      <c r="J20" s="68">
        <v>24700</v>
      </c>
      <c r="K20" s="10"/>
      <c r="L20" s="68">
        <v>5100</v>
      </c>
      <c r="M20" s="21"/>
      <c r="N20" s="81"/>
      <c r="O20" s="10"/>
      <c r="P20" s="11"/>
      <c r="Q20" s="24"/>
      <c r="R20" s="31"/>
      <c r="S20" s="24"/>
      <c r="T20" s="9">
        <v>12000</v>
      </c>
      <c r="U20" s="9">
        <v>3000</v>
      </c>
      <c r="V20" s="9">
        <v>6000</v>
      </c>
      <c r="W20" s="9">
        <v>7000</v>
      </c>
      <c r="X20" s="9">
        <v>800</v>
      </c>
      <c r="Y20" s="9"/>
      <c r="Z20" s="9"/>
      <c r="AA20" s="11"/>
      <c r="AB20" s="10"/>
      <c r="AC20" s="10"/>
      <c r="AD20" s="10"/>
      <c r="AE20" s="10"/>
      <c r="AF20" s="21"/>
      <c r="AG20" s="81"/>
      <c r="AH20" s="10"/>
      <c r="AI20" s="11"/>
      <c r="AJ20" s="24"/>
      <c r="AK20" s="31"/>
      <c r="AM20" s="9">
        <v>4000</v>
      </c>
      <c r="AN20" s="9">
        <v>2000</v>
      </c>
      <c r="AO20" s="9">
        <v>2000</v>
      </c>
      <c r="AP20" s="9">
        <v>6000</v>
      </c>
      <c r="AQ20" s="9">
        <v>4000</v>
      </c>
      <c r="AR20" s="9">
        <v>2000</v>
      </c>
      <c r="AS20" s="9"/>
      <c r="AT20" s="83"/>
      <c r="AU20" s="86">
        <v>2000</v>
      </c>
      <c r="AV20" s="68">
        <v>9140</v>
      </c>
      <c r="AW20" s="94">
        <v>4800</v>
      </c>
      <c r="AX20" s="95">
        <v>2000</v>
      </c>
      <c r="AY20" s="68">
        <v>4500</v>
      </c>
      <c r="AZ20" s="96"/>
      <c r="BA20" s="21"/>
      <c r="BB20" s="93"/>
      <c r="BC20" s="10"/>
      <c r="BD20" s="11"/>
      <c r="BE20" s="24"/>
      <c r="BF20" s="31"/>
      <c r="BH20" s="9">
        <v>3000</v>
      </c>
      <c r="BI20" s="9">
        <v>8500</v>
      </c>
      <c r="BJ20" s="9">
        <v>2000</v>
      </c>
      <c r="BK20" s="9">
        <v>7500</v>
      </c>
      <c r="BL20" s="9">
        <v>4000</v>
      </c>
      <c r="BM20" s="9">
        <v>500</v>
      </c>
      <c r="BN20" s="9">
        <v>2000</v>
      </c>
      <c r="BO20" s="11"/>
      <c r="BP20" s="68">
        <v>3600</v>
      </c>
      <c r="BQ20" s="68">
        <v>2500</v>
      </c>
      <c r="BR20" s="10"/>
      <c r="BS20" s="10"/>
      <c r="BT20" s="10"/>
      <c r="BU20" s="10"/>
      <c r="BV20" s="21"/>
      <c r="BW20" s="20"/>
      <c r="BX20" s="10"/>
      <c r="BY20" s="11"/>
      <c r="BZ20" s="24"/>
      <c r="CA20" s="31"/>
      <c r="CB20" s="24"/>
      <c r="CC20" s="9">
        <v>4700</v>
      </c>
      <c r="CD20" s="9">
        <v>3900</v>
      </c>
      <c r="CE20" s="9">
        <v>7800</v>
      </c>
      <c r="CF20" s="9">
        <v>11000</v>
      </c>
      <c r="CG20" s="9">
        <v>62000</v>
      </c>
      <c r="CH20" s="9">
        <v>2000</v>
      </c>
      <c r="CI20" s="9"/>
      <c r="CJ20" s="11"/>
      <c r="CK20" s="68">
        <v>12300</v>
      </c>
      <c r="CL20" s="68"/>
      <c r="CM20" s="10"/>
      <c r="CN20" s="68">
        <v>2000</v>
      </c>
      <c r="CO20" s="68">
        <v>3000</v>
      </c>
      <c r="CP20" s="10"/>
      <c r="CQ20" s="21"/>
      <c r="CR20" s="20"/>
      <c r="CS20" s="10"/>
      <c r="CT20" s="11"/>
      <c r="CU20" s="24"/>
      <c r="CV20" s="31"/>
    </row>
    <row r="21" ht="15" customHeight="1" spans="1:100">
      <c r="A21" s="9">
        <v>3500</v>
      </c>
      <c r="B21" s="9">
        <v>1200</v>
      </c>
      <c r="C21" s="9">
        <v>24000</v>
      </c>
      <c r="D21" s="9"/>
      <c r="E21" s="9"/>
      <c r="F21" s="9"/>
      <c r="G21" s="9"/>
      <c r="H21" s="11"/>
      <c r="I21" s="68">
        <v>46900</v>
      </c>
      <c r="J21" s="68">
        <v>26000</v>
      </c>
      <c r="K21" s="10"/>
      <c r="L21" s="68">
        <v>48500</v>
      </c>
      <c r="M21" s="21"/>
      <c r="N21" s="81"/>
      <c r="O21" s="10"/>
      <c r="P21" s="11"/>
      <c r="Q21" s="24"/>
      <c r="R21" s="31"/>
      <c r="S21" s="24"/>
      <c r="T21" s="9">
        <v>4500</v>
      </c>
      <c r="U21" s="9">
        <v>4000</v>
      </c>
      <c r="V21" s="9">
        <v>5500</v>
      </c>
      <c r="W21" s="9">
        <v>1000</v>
      </c>
      <c r="X21" s="9">
        <v>9000</v>
      </c>
      <c r="Y21" s="9"/>
      <c r="Z21" s="9"/>
      <c r="AA21" s="11"/>
      <c r="AB21" s="10"/>
      <c r="AC21" s="10"/>
      <c r="AD21" s="10"/>
      <c r="AE21" s="10"/>
      <c r="AF21" s="21"/>
      <c r="AG21" s="81"/>
      <c r="AH21" s="10"/>
      <c r="AI21" s="11"/>
      <c r="AJ21" s="24"/>
      <c r="AK21" s="31"/>
      <c r="AM21" s="9">
        <v>20500</v>
      </c>
      <c r="AN21" s="9">
        <v>21000</v>
      </c>
      <c r="AO21" s="9">
        <v>3500</v>
      </c>
      <c r="AP21" s="9">
        <v>3000</v>
      </c>
      <c r="AQ21" s="9">
        <v>3000</v>
      </c>
      <c r="AR21" s="9">
        <v>3500</v>
      </c>
      <c r="AS21" s="9"/>
      <c r="AT21" s="83"/>
      <c r="AU21" s="86">
        <v>3360</v>
      </c>
      <c r="AV21" s="68">
        <v>10380</v>
      </c>
      <c r="AW21" s="94">
        <v>6500</v>
      </c>
      <c r="AX21" s="95">
        <v>26700</v>
      </c>
      <c r="AY21" s="68">
        <v>3500</v>
      </c>
      <c r="AZ21" s="96"/>
      <c r="BA21" s="21"/>
      <c r="BB21" s="93"/>
      <c r="BC21" s="10"/>
      <c r="BD21" s="11"/>
      <c r="BE21" s="24"/>
      <c r="BF21" s="31"/>
      <c r="BH21" s="9">
        <v>1000</v>
      </c>
      <c r="BI21" s="9">
        <v>7500</v>
      </c>
      <c r="BJ21" s="9">
        <v>50000</v>
      </c>
      <c r="BK21" s="9">
        <v>4000</v>
      </c>
      <c r="BL21" s="9">
        <v>1500</v>
      </c>
      <c r="BM21" s="9">
        <v>1500</v>
      </c>
      <c r="BN21" s="9">
        <v>6500</v>
      </c>
      <c r="BO21" s="11"/>
      <c r="BP21" s="68">
        <v>3600</v>
      </c>
      <c r="BQ21" s="68">
        <v>4000</v>
      </c>
      <c r="BR21" s="10"/>
      <c r="BS21" s="10"/>
      <c r="BT21" s="10"/>
      <c r="BU21" s="10"/>
      <c r="BV21" s="21"/>
      <c r="BW21" s="20"/>
      <c r="BX21" s="10"/>
      <c r="BY21" s="11"/>
      <c r="BZ21" s="24"/>
      <c r="CA21" s="31"/>
      <c r="CB21" s="24"/>
      <c r="CC21" s="9">
        <v>300</v>
      </c>
      <c r="CD21" s="9">
        <v>2000</v>
      </c>
      <c r="CE21" s="9">
        <v>5000</v>
      </c>
      <c r="CF21" s="9">
        <v>1500</v>
      </c>
      <c r="CG21" s="9">
        <v>10000</v>
      </c>
      <c r="CH21" s="9">
        <v>5000</v>
      </c>
      <c r="CI21" s="9"/>
      <c r="CJ21" s="11"/>
      <c r="CK21" s="68">
        <v>3000</v>
      </c>
      <c r="CL21" s="68"/>
      <c r="CM21" s="10"/>
      <c r="CN21" s="68">
        <v>4000</v>
      </c>
      <c r="CO21" s="68">
        <v>6000</v>
      </c>
      <c r="CP21" s="10"/>
      <c r="CQ21" s="21"/>
      <c r="CR21" s="20"/>
      <c r="CS21" s="10"/>
      <c r="CT21" s="11"/>
      <c r="CU21" s="24"/>
      <c r="CV21" s="31"/>
    </row>
    <row r="22" ht="15.75" customHeight="1" spans="1:100">
      <c r="A22" s="9">
        <v>1200</v>
      </c>
      <c r="B22" s="9">
        <v>2000</v>
      </c>
      <c r="C22" s="9">
        <v>6000</v>
      </c>
      <c r="D22" s="9"/>
      <c r="E22" s="9"/>
      <c r="F22" s="9"/>
      <c r="G22" s="9"/>
      <c r="H22" s="11"/>
      <c r="I22" s="68">
        <v>4500</v>
      </c>
      <c r="J22" s="68">
        <v>46500</v>
      </c>
      <c r="K22" s="10"/>
      <c r="L22" s="68">
        <v>8000</v>
      </c>
      <c r="M22" s="21"/>
      <c r="N22" s="81"/>
      <c r="O22" s="10"/>
      <c r="P22" s="11"/>
      <c r="Q22" s="24"/>
      <c r="R22" s="31"/>
      <c r="S22" s="24"/>
      <c r="T22" s="9">
        <v>2400</v>
      </c>
      <c r="U22" s="9">
        <v>23500</v>
      </c>
      <c r="V22" s="9">
        <v>40000</v>
      </c>
      <c r="W22" s="9">
        <v>5000</v>
      </c>
      <c r="X22" s="9">
        <v>7500</v>
      </c>
      <c r="Y22" s="9"/>
      <c r="Z22" s="9"/>
      <c r="AA22" s="11"/>
      <c r="AB22" s="10"/>
      <c r="AC22" s="10"/>
      <c r="AD22" s="10"/>
      <c r="AE22" s="10"/>
      <c r="AF22" s="21"/>
      <c r="AG22" s="81"/>
      <c r="AH22" s="10"/>
      <c r="AI22" s="11"/>
      <c r="AJ22" s="24"/>
      <c r="AK22" s="31"/>
      <c r="AM22" s="9">
        <v>20000</v>
      </c>
      <c r="AN22" s="9">
        <v>4000</v>
      </c>
      <c r="AO22" s="9">
        <v>2000</v>
      </c>
      <c r="AP22" s="9">
        <v>2000</v>
      </c>
      <c r="AQ22" s="9">
        <v>4500</v>
      </c>
      <c r="AR22" s="9">
        <v>3000</v>
      </c>
      <c r="AS22" s="9"/>
      <c r="AT22" s="83"/>
      <c r="AU22" s="86">
        <v>36500</v>
      </c>
      <c r="AV22" s="68">
        <v>13450</v>
      </c>
      <c r="AW22" s="94">
        <v>7600</v>
      </c>
      <c r="AX22" s="95">
        <v>17350</v>
      </c>
      <c r="AY22" s="68">
        <v>8800</v>
      </c>
      <c r="AZ22" s="96"/>
      <c r="BA22" s="21"/>
      <c r="BB22" s="93"/>
      <c r="BC22" s="10"/>
      <c r="BD22" s="11"/>
      <c r="BE22" s="24"/>
      <c r="BF22" s="31"/>
      <c r="BH22" s="9">
        <v>3000</v>
      </c>
      <c r="BI22" s="9">
        <v>1000</v>
      </c>
      <c r="BJ22" s="9">
        <v>3500</v>
      </c>
      <c r="BK22" s="9">
        <v>14000</v>
      </c>
      <c r="BL22" s="9">
        <v>4500</v>
      </c>
      <c r="BM22" s="9">
        <v>36000</v>
      </c>
      <c r="BN22" s="9">
        <v>5000</v>
      </c>
      <c r="BO22" s="11"/>
      <c r="BP22" s="68">
        <v>23100</v>
      </c>
      <c r="BQ22" s="68">
        <v>13000</v>
      </c>
      <c r="BR22" s="10"/>
      <c r="BS22" s="10"/>
      <c r="BT22" s="10"/>
      <c r="BU22" s="10"/>
      <c r="BV22" s="21"/>
      <c r="BW22" s="20"/>
      <c r="BX22" s="10"/>
      <c r="BY22" s="11"/>
      <c r="BZ22" s="24"/>
      <c r="CA22" s="31"/>
      <c r="CB22" s="24"/>
      <c r="CC22" s="9">
        <v>8300</v>
      </c>
      <c r="CD22" s="9">
        <v>33250</v>
      </c>
      <c r="CE22" s="9">
        <v>4500</v>
      </c>
      <c r="CF22" s="9">
        <v>3000</v>
      </c>
      <c r="CG22" s="9">
        <v>2500</v>
      </c>
      <c r="CH22" s="9">
        <v>7500</v>
      </c>
      <c r="CI22" s="9"/>
      <c r="CJ22" s="11"/>
      <c r="CK22" s="68">
        <v>17770</v>
      </c>
      <c r="CL22" s="68"/>
      <c r="CM22" s="10"/>
      <c r="CN22" s="68">
        <v>4500</v>
      </c>
      <c r="CO22" s="68">
        <v>9500</v>
      </c>
      <c r="CP22" s="10"/>
      <c r="CQ22" s="21"/>
      <c r="CR22" s="20"/>
      <c r="CS22" s="10"/>
      <c r="CT22" s="11"/>
      <c r="CU22" s="24"/>
      <c r="CV22" s="31"/>
    </row>
    <row r="23" ht="15.6" spans="1:100">
      <c r="A23" s="9">
        <v>5000</v>
      </c>
      <c r="B23" s="9">
        <v>3500</v>
      </c>
      <c r="C23" s="9">
        <v>2000</v>
      </c>
      <c r="D23" s="9"/>
      <c r="E23" s="9"/>
      <c r="F23" s="9"/>
      <c r="G23" s="9"/>
      <c r="H23" s="11"/>
      <c r="I23" s="68">
        <v>3840</v>
      </c>
      <c r="J23" s="68">
        <v>9600</v>
      </c>
      <c r="K23" s="10"/>
      <c r="L23" s="68">
        <v>10300</v>
      </c>
      <c r="M23" s="21"/>
      <c r="N23" s="81"/>
      <c r="O23" s="10"/>
      <c r="P23" s="11"/>
      <c r="Q23" s="24"/>
      <c r="R23" s="31"/>
      <c r="S23" s="24"/>
      <c r="T23" s="9">
        <v>2000</v>
      </c>
      <c r="U23" s="9">
        <v>3500</v>
      </c>
      <c r="V23" s="9">
        <v>3000</v>
      </c>
      <c r="W23" s="9">
        <v>2500</v>
      </c>
      <c r="X23" s="9">
        <v>8000</v>
      </c>
      <c r="Y23" s="9"/>
      <c r="Z23" s="9"/>
      <c r="AA23" s="11"/>
      <c r="AB23" s="10"/>
      <c r="AC23" s="10"/>
      <c r="AD23" s="10"/>
      <c r="AE23" s="10"/>
      <c r="AF23" s="21"/>
      <c r="AG23" s="81"/>
      <c r="AH23" s="10"/>
      <c r="AI23" s="11"/>
      <c r="AJ23" s="24"/>
      <c r="AK23" s="31"/>
      <c r="AM23" s="9">
        <v>2200</v>
      </c>
      <c r="AN23" s="9">
        <v>7500</v>
      </c>
      <c r="AO23" s="9">
        <v>18500</v>
      </c>
      <c r="AP23" s="9">
        <v>2500</v>
      </c>
      <c r="AQ23" s="9">
        <v>7500</v>
      </c>
      <c r="AR23" s="9">
        <v>12000</v>
      </c>
      <c r="AS23" s="9"/>
      <c r="AT23" s="83"/>
      <c r="AU23" s="86">
        <v>3840</v>
      </c>
      <c r="AV23" s="68">
        <v>3000</v>
      </c>
      <c r="AW23" s="94">
        <v>800</v>
      </c>
      <c r="AX23" s="95">
        <v>8500</v>
      </c>
      <c r="AY23" s="68">
        <v>4000</v>
      </c>
      <c r="AZ23" s="96"/>
      <c r="BA23" s="21"/>
      <c r="BB23" s="93"/>
      <c r="BC23" s="10"/>
      <c r="BD23" s="11"/>
      <c r="BE23" s="24"/>
      <c r="BF23" s="31"/>
      <c r="BH23" s="9">
        <v>6500</v>
      </c>
      <c r="BI23" s="9">
        <v>3000</v>
      </c>
      <c r="BJ23" s="9">
        <v>3000</v>
      </c>
      <c r="BK23" s="9">
        <v>1300</v>
      </c>
      <c r="BL23" s="9">
        <v>2800</v>
      </c>
      <c r="BM23" s="9">
        <v>1600</v>
      </c>
      <c r="BN23" s="9"/>
      <c r="BO23" s="11"/>
      <c r="BP23" s="68">
        <v>35060</v>
      </c>
      <c r="BQ23" s="68">
        <v>3000</v>
      </c>
      <c r="BR23" s="10"/>
      <c r="BS23" s="10"/>
      <c r="BT23" s="10"/>
      <c r="BU23" s="10"/>
      <c r="BV23" s="21"/>
      <c r="BW23" s="20"/>
      <c r="BX23" s="10"/>
      <c r="BY23" s="11"/>
      <c r="BZ23" s="24"/>
      <c r="CA23" s="31"/>
      <c r="CB23" s="24"/>
      <c r="CC23" s="9">
        <v>1600</v>
      </c>
      <c r="CD23" s="9">
        <v>600</v>
      </c>
      <c r="CE23" s="9">
        <v>7500</v>
      </c>
      <c r="CF23" s="9">
        <v>2000</v>
      </c>
      <c r="CG23" s="9">
        <v>60000</v>
      </c>
      <c r="CH23" s="9">
        <v>15000</v>
      </c>
      <c r="CI23" s="9"/>
      <c r="CJ23" s="11"/>
      <c r="CK23" s="68">
        <v>6400</v>
      </c>
      <c r="CL23" s="68"/>
      <c r="CM23" s="10"/>
      <c r="CN23" s="68">
        <v>5500</v>
      </c>
      <c r="CO23" s="68">
        <v>11000</v>
      </c>
      <c r="CP23" s="10"/>
      <c r="CQ23" s="21"/>
      <c r="CR23" s="20"/>
      <c r="CS23" s="10"/>
      <c r="CT23" s="11"/>
      <c r="CU23" s="24"/>
      <c r="CV23" s="31"/>
    </row>
    <row r="24" ht="15.6" spans="1:100">
      <c r="A24" s="9">
        <v>1500</v>
      </c>
      <c r="B24" s="9">
        <v>3200</v>
      </c>
      <c r="C24" s="9">
        <v>2800</v>
      </c>
      <c r="D24" s="9"/>
      <c r="E24" s="9"/>
      <c r="F24" s="9"/>
      <c r="G24" s="9"/>
      <c r="H24" s="11"/>
      <c r="I24" s="68">
        <v>1600</v>
      </c>
      <c r="J24" s="68">
        <v>7680</v>
      </c>
      <c r="K24" s="10"/>
      <c r="L24" s="68">
        <v>22000</v>
      </c>
      <c r="M24" s="21"/>
      <c r="N24" s="81"/>
      <c r="O24" s="10"/>
      <c r="P24" s="11"/>
      <c r="Q24" s="24"/>
      <c r="R24" s="24"/>
      <c r="S24" s="24"/>
      <c r="T24" s="9">
        <v>4700</v>
      </c>
      <c r="U24" s="9">
        <v>17500</v>
      </c>
      <c r="V24" s="9">
        <v>20200</v>
      </c>
      <c r="W24" s="9">
        <v>3000</v>
      </c>
      <c r="X24" s="9">
        <v>4000</v>
      </c>
      <c r="Y24" s="9"/>
      <c r="Z24" s="9"/>
      <c r="AA24" s="11"/>
      <c r="AB24" s="10"/>
      <c r="AC24" s="10"/>
      <c r="AD24" s="10"/>
      <c r="AE24" s="10"/>
      <c r="AF24" s="21"/>
      <c r="AG24" s="81"/>
      <c r="AH24" s="10"/>
      <c r="AI24" s="11"/>
      <c r="AJ24" s="24"/>
      <c r="AK24" s="24"/>
      <c r="AM24" s="9">
        <v>1800</v>
      </c>
      <c r="AN24" s="9">
        <v>1500</v>
      </c>
      <c r="AO24" s="9">
        <v>3000</v>
      </c>
      <c r="AP24" s="9">
        <v>20000</v>
      </c>
      <c r="AQ24" s="9">
        <v>1500</v>
      </c>
      <c r="AR24" s="9">
        <v>10000</v>
      </c>
      <c r="AS24" s="9"/>
      <c r="AT24" s="83"/>
      <c r="AU24" s="86">
        <v>38000</v>
      </c>
      <c r="AV24" s="68">
        <v>14890</v>
      </c>
      <c r="AW24" s="94">
        <v>16000</v>
      </c>
      <c r="AX24" s="95">
        <v>2000</v>
      </c>
      <c r="AY24" s="68">
        <v>61000</v>
      </c>
      <c r="AZ24" s="96"/>
      <c r="BA24" s="21"/>
      <c r="BB24" s="93"/>
      <c r="BC24" s="10"/>
      <c r="BD24" s="11"/>
      <c r="BE24" s="24"/>
      <c r="BF24" s="24"/>
      <c r="BH24" s="9">
        <v>1000</v>
      </c>
      <c r="BI24" s="9">
        <v>800</v>
      </c>
      <c r="BJ24" s="9">
        <v>6500</v>
      </c>
      <c r="BK24" s="9">
        <v>30000</v>
      </c>
      <c r="BL24" s="9">
        <v>3500</v>
      </c>
      <c r="BM24" s="9">
        <v>6500</v>
      </c>
      <c r="BN24" s="9"/>
      <c r="BO24" s="11"/>
      <c r="BP24" s="68">
        <v>4320</v>
      </c>
      <c r="BQ24" s="68">
        <v>3450</v>
      </c>
      <c r="BR24" s="10"/>
      <c r="BS24" s="10"/>
      <c r="BT24" s="10"/>
      <c r="BU24" s="10"/>
      <c r="BV24" s="21"/>
      <c r="BW24" s="20"/>
      <c r="BX24" s="10"/>
      <c r="BY24" s="11"/>
      <c r="BZ24" s="24"/>
      <c r="CA24" s="24"/>
      <c r="CB24" s="24"/>
      <c r="CC24" s="9">
        <v>2300</v>
      </c>
      <c r="CD24" s="9">
        <v>3000</v>
      </c>
      <c r="CE24" s="9">
        <v>14700</v>
      </c>
      <c r="CF24" s="9">
        <v>2000</v>
      </c>
      <c r="CG24" s="9">
        <v>9500</v>
      </c>
      <c r="CH24" s="9">
        <v>1500</v>
      </c>
      <c r="CI24" s="9"/>
      <c r="CJ24" s="11"/>
      <c r="CK24" s="68">
        <v>9800</v>
      </c>
      <c r="CL24" s="68"/>
      <c r="CM24" s="10"/>
      <c r="CN24" s="68">
        <v>1500</v>
      </c>
      <c r="CO24" s="68">
        <v>1000</v>
      </c>
      <c r="CP24" s="10"/>
      <c r="CQ24" s="21"/>
      <c r="CR24" s="20"/>
      <c r="CS24" s="10"/>
      <c r="CT24" s="11"/>
      <c r="CU24" s="24"/>
      <c r="CV24" s="24"/>
    </row>
    <row r="25" ht="15.6" spans="1:100">
      <c r="A25" s="9">
        <v>11000</v>
      </c>
      <c r="B25" s="9">
        <v>25000</v>
      </c>
      <c r="C25" s="9">
        <v>5000</v>
      </c>
      <c r="D25" s="9"/>
      <c r="E25" s="9"/>
      <c r="F25" s="9"/>
      <c r="G25" s="9"/>
      <c r="H25" s="11"/>
      <c r="I25" s="68">
        <v>8500</v>
      </c>
      <c r="J25" s="68">
        <v>70000</v>
      </c>
      <c r="K25" s="10"/>
      <c r="L25" s="68">
        <v>7500</v>
      </c>
      <c r="M25" s="21"/>
      <c r="N25" s="81"/>
      <c r="O25" s="10"/>
      <c r="P25" s="11"/>
      <c r="Q25" s="24"/>
      <c r="R25" s="24"/>
      <c r="S25" s="24"/>
      <c r="T25" s="9">
        <v>4000</v>
      </c>
      <c r="U25" s="9">
        <v>19800</v>
      </c>
      <c r="V25" s="9">
        <v>53000</v>
      </c>
      <c r="W25" s="9">
        <v>6500</v>
      </c>
      <c r="X25" s="9">
        <v>4500</v>
      </c>
      <c r="Y25" s="9"/>
      <c r="Z25" s="9"/>
      <c r="AA25" s="11"/>
      <c r="AB25" s="10"/>
      <c r="AC25" s="10"/>
      <c r="AD25" s="10"/>
      <c r="AE25" s="10"/>
      <c r="AF25" s="21"/>
      <c r="AG25" s="81"/>
      <c r="AH25" s="10"/>
      <c r="AI25" s="11"/>
      <c r="AJ25" s="24"/>
      <c r="AK25" s="24"/>
      <c r="AM25" s="9">
        <v>3600</v>
      </c>
      <c r="AN25" s="9">
        <v>17000</v>
      </c>
      <c r="AO25" s="9">
        <v>32700</v>
      </c>
      <c r="AP25" s="9">
        <v>500</v>
      </c>
      <c r="AQ25" s="9">
        <v>2000</v>
      </c>
      <c r="AR25" s="9">
        <v>2500</v>
      </c>
      <c r="AS25" s="9"/>
      <c r="AT25" s="83"/>
      <c r="AU25" s="86">
        <v>7690</v>
      </c>
      <c r="AV25" s="68">
        <v>20330</v>
      </c>
      <c r="AW25" s="94">
        <v>6500</v>
      </c>
      <c r="AX25" s="95">
        <v>16500</v>
      </c>
      <c r="AY25" s="68">
        <v>2000</v>
      </c>
      <c r="AZ25" s="96"/>
      <c r="BA25" s="21"/>
      <c r="BB25" s="93"/>
      <c r="BC25" s="10"/>
      <c r="BD25" s="11"/>
      <c r="BE25" s="24"/>
      <c r="BF25" s="24"/>
      <c r="BH25" s="9">
        <v>400</v>
      </c>
      <c r="BI25" s="9">
        <v>3000</v>
      </c>
      <c r="BJ25" s="9">
        <v>5000</v>
      </c>
      <c r="BK25" s="9">
        <v>15500</v>
      </c>
      <c r="BL25" s="9">
        <v>2200</v>
      </c>
      <c r="BM25" s="9">
        <v>800</v>
      </c>
      <c r="BN25" s="9"/>
      <c r="BO25" s="11"/>
      <c r="BP25" s="68">
        <v>20650</v>
      </c>
      <c r="BQ25" s="68">
        <v>8500</v>
      </c>
      <c r="BR25" s="10"/>
      <c r="BS25" s="10"/>
      <c r="BT25" s="10"/>
      <c r="BU25" s="10"/>
      <c r="BV25" s="21"/>
      <c r="BW25" s="20"/>
      <c r="BX25" s="10"/>
      <c r="BY25" s="11"/>
      <c r="BZ25" s="24"/>
      <c r="CA25" s="24"/>
      <c r="CB25" s="24"/>
      <c r="CC25" s="9">
        <v>2500</v>
      </c>
      <c r="CD25" s="9">
        <v>5000</v>
      </c>
      <c r="CE25" s="9">
        <v>10000</v>
      </c>
      <c r="CF25" s="9">
        <v>4500</v>
      </c>
      <c r="CG25" s="9">
        <v>6000</v>
      </c>
      <c r="CH25" s="9">
        <v>8500</v>
      </c>
      <c r="CI25" s="9"/>
      <c r="CJ25" s="11"/>
      <c r="CK25" s="68">
        <v>35400</v>
      </c>
      <c r="CL25" s="68"/>
      <c r="CM25" s="10"/>
      <c r="CN25" s="68">
        <v>4600</v>
      </c>
      <c r="CO25" s="68">
        <v>1800</v>
      </c>
      <c r="CP25" s="10"/>
      <c r="CQ25" s="21"/>
      <c r="CR25" s="20"/>
      <c r="CS25" s="10"/>
      <c r="CT25" s="11"/>
      <c r="CU25" s="24"/>
      <c r="CV25" s="24"/>
    </row>
    <row r="26" ht="15.6" spans="1:100">
      <c r="A26" s="9">
        <v>2000</v>
      </c>
      <c r="B26" s="9">
        <v>4700</v>
      </c>
      <c r="C26" s="9">
        <v>8500</v>
      </c>
      <c r="D26" s="9"/>
      <c r="E26" s="9"/>
      <c r="F26" s="9"/>
      <c r="G26" s="9"/>
      <c r="H26" s="11"/>
      <c r="I26" s="68">
        <v>5280</v>
      </c>
      <c r="J26" s="68">
        <v>19210</v>
      </c>
      <c r="K26" s="10"/>
      <c r="L26" s="68">
        <v>4000</v>
      </c>
      <c r="M26" s="21"/>
      <c r="N26" s="81"/>
      <c r="O26" s="10"/>
      <c r="P26" s="11"/>
      <c r="Q26" s="24"/>
      <c r="R26" s="24"/>
      <c r="S26" s="24"/>
      <c r="T26" s="9">
        <v>8000</v>
      </c>
      <c r="U26" s="9">
        <v>12500</v>
      </c>
      <c r="V26" s="9">
        <v>2000</v>
      </c>
      <c r="W26" s="9">
        <v>27500</v>
      </c>
      <c r="X26" s="9">
        <v>2000</v>
      </c>
      <c r="Y26" s="9"/>
      <c r="Z26" s="9"/>
      <c r="AA26" s="11"/>
      <c r="AB26" s="10"/>
      <c r="AC26" s="10"/>
      <c r="AD26" s="10"/>
      <c r="AE26" s="10"/>
      <c r="AF26" s="21"/>
      <c r="AG26" s="81"/>
      <c r="AH26" s="10"/>
      <c r="AI26" s="11"/>
      <c r="AJ26" s="24"/>
      <c r="AK26" s="24"/>
      <c r="AM26" s="9">
        <v>2500</v>
      </c>
      <c r="AN26" s="9">
        <v>2300</v>
      </c>
      <c r="AO26" s="9">
        <v>8900</v>
      </c>
      <c r="AP26" s="9">
        <v>2000</v>
      </c>
      <c r="AQ26" s="9">
        <v>9000</v>
      </c>
      <c r="AR26" s="9">
        <v>1000</v>
      </c>
      <c r="AS26" s="9"/>
      <c r="AT26" s="83"/>
      <c r="AU26" s="86">
        <v>31940</v>
      </c>
      <c r="AV26" s="68">
        <v>4500</v>
      </c>
      <c r="AW26" s="94">
        <v>1000</v>
      </c>
      <c r="AX26" s="95">
        <v>20100</v>
      </c>
      <c r="AY26" s="68">
        <v>1200</v>
      </c>
      <c r="AZ26" s="96"/>
      <c r="BA26" s="21"/>
      <c r="BB26" s="93"/>
      <c r="BC26" s="10"/>
      <c r="BD26" s="11"/>
      <c r="BE26" s="24"/>
      <c r="BF26" s="24"/>
      <c r="BH26" s="9">
        <v>5500</v>
      </c>
      <c r="BI26" s="9">
        <v>1950</v>
      </c>
      <c r="BJ26" s="9">
        <v>101000</v>
      </c>
      <c r="BK26" s="9">
        <v>8000</v>
      </c>
      <c r="BL26" s="9">
        <v>7000</v>
      </c>
      <c r="BM26" s="9">
        <v>1600</v>
      </c>
      <c r="BN26" s="9"/>
      <c r="BO26" s="11"/>
      <c r="BP26" s="68">
        <v>6500</v>
      </c>
      <c r="BQ26" s="68">
        <v>16000</v>
      </c>
      <c r="BR26" s="10"/>
      <c r="BS26" s="10"/>
      <c r="BT26" s="10"/>
      <c r="BU26" s="10"/>
      <c r="BV26" s="21"/>
      <c r="BW26" s="20"/>
      <c r="BX26" s="10"/>
      <c r="BY26" s="11"/>
      <c r="BZ26" s="24"/>
      <c r="CA26" s="24"/>
      <c r="CB26" s="24"/>
      <c r="CC26" s="9">
        <v>30000</v>
      </c>
      <c r="CD26" s="9">
        <v>4000</v>
      </c>
      <c r="CE26" s="9">
        <v>6000</v>
      </c>
      <c r="CF26" s="9">
        <v>6500</v>
      </c>
      <c r="CG26" s="9">
        <v>8500</v>
      </c>
      <c r="CH26" s="9">
        <v>1000</v>
      </c>
      <c r="CI26" s="9"/>
      <c r="CJ26" s="11"/>
      <c r="CK26" s="68">
        <v>8500</v>
      </c>
      <c r="CL26" s="68"/>
      <c r="CM26" s="10"/>
      <c r="CN26" s="68">
        <v>7000</v>
      </c>
      <c r="CO26" s="68">
        <v>17500</v>
      </c>
      <c r="CP26" s="10"/>
      <c r="CQ26" s="21"/>
      <c r="CR26" s="20"/>
      <c r="CS26" s="10"/>
      <c r="CT26" s="11"/>
      <c r="CU26" s="24"/>
      <c r="CV26" s="24"/>
    </row>
    <row r="27" ht="15.6" spans="1:100">
      <c r="A27" s="9">
        <v>7000</v>
      </c>
      <c r="B27" s="9">
        <v>30000</v>
      </c>
      <c r="C27" s="9">
        <v>10000</v>
      </c>
      <c r="D27" s="9"/>
      <c r="E27" s="9"/>
      <c r="F27" s="9"/>
      <c r="G27" s="9"/>
      <c r="H27" s="11"/>
      <c r="I27" s="68">
        <v>7110</v>
      </c>
      <c r="J27" s="68">
        <v>4000</v>
      </c>
      <c r="K27" s="10"/>
      <c r="L27" s="68">
        <v>30300</v>
      </c>
      <c r="M27" s="21"/>
      <c r="N27" s="81"/>
      <c r="O27" s="10"/>
      <c r="P27" s="11"/>
      <c r="Q27" s="24"/>
      <c r="R27" s="24"/>
      <c r="S27" s="24"/>
      <c r="T27" s="9">
        <v>400</v>
      </c>
      <c r="U27" s="9">
        <v>10000</v>
      </c>
      <c r="V27" s="9">
        <v>6000</v>
      </c>
      <c r="W27" s="9">
        <v>72600</v>
      </c>
      <c r="X27" s="9">
        <v>35000</v>
      </c>
      <c r="Y27" s="9"/>
      <c r="Z27" s="9"/>
      <c r="AA27" s="11"/>
      <c r="AB27" s="10"/>
      <c r="AC27" s="10"/>
      <c r="AD27" s="10"/>
      <c r="AE27" s="10"/>
      <c r="AF27" s="21"/>
      <c r="AG27" s="81"/>
      <c r="AH27" s="10"/>
      <c r="AI27" s="11"/>
      <c r="AJ27" s="24"/>
      <c r="AK27" s="24"/>
      <c r="AM27" s="9">
        <v>80000</v>
      </c>
      <c r="AN27" s="9">
        <v>12000</v>
      </c>
      <c r="AO27" s="9">
        <v>8000</v>
      </c>
      <c r="AP27" s="9">
        <v>1300</v>
      </c>
      <c r="AQ27" s="9">
        <v>300</v>
      </c>
      <c r="AR27" s="9">
        <v>400</v>
      </c>
      <c r="AS27" s="9"/>
      <c r="AT27" s="83"/>
      <c r="AU27" s="86">
        <v>7440</v>
      </c>
      <c r="AV27" s="68">
        <v>8000</v>
      </c>
      <c r="AW27" s="94">
        <v>18000</v>
      </c>
      <c r="AX27" s="95">
        <v>10000</v>
      </c>
      <c r="AY27" s="68">
        <v>900</v>
      </c>
      <c r="AZ27" s="96"/>
      <c r="BA27" s="21"/>
      <c r="BB27" s="93"/>
      <c r="BC27" s="10"/>
      <c r="BD27" s="11"/>
      <c r="BE27" s="24"/>
      <c r="BF27" s="24"/>
      <c r="BH27" s="9">
        <v>10000</v>
      </c>
      <c r="BI27" s="9">
        <v>7700</v>
      </c>
      <c r="BJ27" s="9">
        <v>6000</v>
      </c>
      <c r="BK27" s="9">
        <v>9500</v>
      </c>
      <c r="BL27" s="9">
        <v>800</v>
      </c>
      <c r="BM27" s="9">
        <v>1000</v>
      </c>
      <c r="BN27" s="9"/>
      <c r="BO27" s="11"/>
      <c r="BP27" s="68">
        <v>5000</v>
      </c>
      <c r="BQ27" s="68">
        <v>4320</v>
      </c>
      <c r="BR27" s="10"/>
      <c r="BS27" s="10"/>
      <c r="BT27" s="10"/>
      <c r="BU27" s="10"/>
      <c r="BV27" s="21"/>
      <c r="BW27" s="20"/>
      <c r="BX27" s="10"/>
      <c r="BY27" s="11"/>
      <c r="BZ27" s="24"/>
      <c r="CA27" s="24"/>
      <c r="CB27" s="24"/>
      <c r="CC27" s="9">
        <v>6500</v>
      </c>
      <c r="CD27" s="9">
        <v>10500</v>
      </c>
      <c r="CE27" s="9">
        <v>20000</v>
      </c>
      <c r="CF27" s="9">
        <v>6500</v>
      </c>
      <c r="CG27" s="9">
        <v>14000</v>
      </c>
      <c r="CH27" s="9">
        <v>5000</v>
      </c>
      <c r="CI27" s="9"/>
      <c r="CJ27" s="11"/>
      <c r="CK27" s="68">
        <v>500</v>
      </c>
      <c r="CL27" s="68"/>
      <c r="CM27" s="10"/>
      <c r="CN27" s="68">
        <v>7000</v>
      </c>
      <c r="CO27" s="68">
        <v>16000</v>
      </c>
      <c r="CP27" s="10"/>
      <c r="CQ27" s="21"/>
      <c r="CR27" s="20"/>
      <c r="CS27" s="10"/>
      <c r="CT27" s="11"/>
      <c r="CU27" s="24"/>
      <c r="CV27" s="24"/>
    </row>
    <row r="28" ht="15.6" spans="1:100">
      <c r="A28" s="9">
        <v>11000</v>
      </c>
      <c r="B28" s="9">
        <v>3500</v>
      </c>
      <c r="C28" s="9">
        <v>5000</v>
      </c>
      <c r="D28" s="9"/>
      <c r="E28" s="9"/>
      <c r="F28" s="9"/>
      <c r="G28" s="9"/>
      <c r="H28" s="11"/>
      <c r="I28" s="68">
        <v>6600</v>
      </c>
      <c r="J28" s="68">
        <v>8000</v>
      </c>
      <c r="K28" s="10"/>
      <c r="L28" s="68">
        <v>1200</v>
      </c>
      <c r="M28" s="21"/>
      <c r="N28" s="81"/>
      <c r="O28" s="10"/>
      <c r="P28" s="11"/>
      <c r="Q28" s="24"/>
      <c r="R28" s="34"/>
      <c r="S28" s="24"/>
      <c r="T28" s="9">
        <v>1500</v>
      </c>
      <c r="U28" s="9">
        <v>17600</v>
      </c>
      <c r="V28" s="9">
        <v>2000</v>
      </c>
      <c r="W28" s="9">
        <v>2000</v>
      </c>
      <c r="X28" s="9">
        <v>18000</v>
      </c>
      <c r="Y28" s="9"/>
      <c r="Z28" s="9"/>
      <c r="AA28" s="11"/>
      <c r="AB28" s="10"/>
      <c r="AC28" s="10"/>
      <c r="AD28" s="10"/>
      <c r="AE28" s="10"/>
      <c r="AF28" s="21"/>
      <c r="AG28" s="81"/>
      <c r="AH28" s="10"/>
      <c r="AI28" s="11"/>
      <c r="AJ28" s="24"/>
      <c r="AK28" s="34"/>
      <c r="AM28" s="9">
        <v>22600</v>
      </c>
      <c r="AN28" s="9">
        <v>4500</v>
      </c>
      <c r="AO28" s="9">
        <v>2500</v>
      </c>
      <c r="AP28" s="9">
        <v>6000</v>
      </c>
      <c r="AQ28" s="9">
        <v>12000</v>
      </c>
      <c r="AR28" s="9">
        <v>1500</v>
      </c>
      <c r="AS28" s="9"/>
      <c r="AT28" s="83"/>
      <c r="AU28" s="86">
        <v>4160</v>
      </c>
      <c r="AV28" s="68">
        <v>71000</v>
      </c>
      <c r="AW28" s="94">
        <v>4610</v>
      </c>
      <c r="AX28" s="95">
        <v>31500</v>
      </c>
      <c r="AY28" s="68">
        <v>6000</v>
      </c>
      <c r="AZ28" s="96"/>
      <c r="BA28" s="21"/>
      <c r="BB28" s="93"/>
      <c r="BC28" s="10"/>
      <c r="BD28" s="11"/>
      <c r="BE28" s="24"/>
      <c r="BF28" s="34"/>
      <c r="BH28" s="9">
        <v>19000</v>
      </c>
      <c r="BI28" s="9">
        <v>5000</v>
      </c>
      <c r="BJ28" s="9">
        <v>10200</v>
      </c>
      <c r="BK28" s="9">
        <v>7000</v>
      </c>
      <c r="BL28" s="9">
        <v>2500</v>
      </c>
      <c r="BM28" s="9">
        <v>7500</v>
      </c>
      <c r="BN28" s="9"/>
      <c r="BO28" s="11"/>
      <c r="BP28" s="68">
        <v>500</v>
      </c>
      <c r="BQ28" s="68">
        <v>5100</v>
      </c>
      <c r="BR28" s="10"/>
      <c r="BS28" s="10"/>
      <c r="BT28" s="10"/>
      <c r="BU28" s="10"/>
      <c r="BV28" s="21"/>
      <c r="BW28" s="20"/>
      <c r="BX28" s="10"/>
      <c r="BY28" s="11"/>
      <c r="BZ28" s="24"/>
      <c r="CA28" s="34"/>
      <c r="CB28" s="24"/>
      <c r="CC28" s="9">
        <v>6000</v>
      </c>
      <c r="CD28" s="9">
        <v>3000</v>
      </c>
      <c r="CE28" s="9">
        <v>9000</v>
      </c>
      <c r="CF28" s="9">
        <v>4000</v>
      </c>
      <c r="CG28" s="9">
        <v>900</v>
      </c>
      <c r="CH28" s="9"/>
      <c r="CI28" s="9"/>
      <c r="CJ28" s="11"/>
      <c r="CK28" s="68">
        <v>6240</v>
      </c>
      <c r="CL28" s="68"/>
      <c r="CM28" s="10"/>
      <c r="CN28" s="68">
        <v>1500</v>
      </c>
      <c r="CO28" s="68">
        <v>10000</v>
      </c>
      <c r="CP28" s="10"/>
      <c r="CQ28" s="21"/>
      <c r="CR28" s="20"/>
      <c r="CS28" s="10"/>
      <c r="CT28" s="11"/>
      <c r="CU28" s="24"/>
      <c r="CV28" s="34"/>
    </row>
    <row r="29" ht="15.6" spans="1:100">
      <c r="A29" s="9">
        <v>5500</v>
      </c>
      <c r="B29" s="9">
        <v>600</v>
      </c>
      <c r="C29" s="9">
        <v>2600</v>
      </c>
      <c r="D29" s="9"/>
      <c r="E29" s="9"/>
      <c r="F29" s="9"/>
      <c r="G29" s="9"/>
      <c r="H29" s="11"/>
      <c r="I29" s="68">
        <v>13000</v>
      </c>
      <c r="J29" s="68">
        <v>8500</v>
      </c>
      <c r="K29" s="10"/>
      <c r="L29" s="68">
        <v>8000</v>
      </c>
      <c r="M29" s="21"/>
      <c r="N29" s="81"/>
      <c r="O29" s="10"/>
      <c r="P29" s="11"/>
      <c r="Q29" s="24"/>
      <c r="R29" s="24"/>
      <c r="S29" s="24"/>
      <c r="T29" s="9">
        <v>13500</v>
      </c>
      <c r="U29" s="9">
        <v>3000</v>
      </c>
      <c r="V29" s="9">
        <v>20000</v>
      </c>
      <c r="W29" s="9">
        <v>5000</v>
      </c>
      <c r="X29" s="9">
        <v>4500</v>
      </c>
      <c r="Y29" s="9"/>
      <c r="Z29" s="9"/>
      <c r="AA29" s="11"/>
      <c r="AB29" s="10"/>
      <c r="AC29" s="10"/>
      <c r="AD29" s="10"/>
      <c r="AE29" s="10"/>
      <c r="AF29" s="21"/>
      <c r="AG29" s="81"/>
      <c r="AH29" s="10"/>
      <c r="AI29" s="11"/>
      <c r="AJ29" s="24"/>
      <c r="AK29" s="24"/>
      <c r="AM29" s="9">
        <v>20000</v>
      </c>
      <c r="AN29" s="9">
        <v>4000</v>
      </c>
      <c r="AO29" s="9">
        <v>25000</v>
      </c>
      <c r="AP29" s="9">
        <v>2500</v>
      </c>
      <c r="AQ29" s="9">
        <v>10000</v>
      </c>
      <c r="AR29" s="9">
        <v>10000</v>
      </c>
      <c r="AS29" s="9"/>
      <c r="AT29" s="83"/>
      <c r="AU29" s="86">
        <v>4610</v>
      </c>
      <c r="AV29" s="68">
        <v>25000</v>
      </c>
      <c r="AW29" s="94">
        <v>1500</v>
      </c>
      <c r="AX29" s="95">
        <v>4500</v>
      </c>
      <c r="AY29" s="68">
        <v>18600</v>
      </c>
      <c r="AZ29" s="96"/>
      <c r="BA29" s="21"/>
      <c r="BB29" s="93"/>
      <c r="BC29" s="10"/>
      <c r="BD29" s="11"/>
      <c r="BE29" s="24"/>
      <c r="BF29" s="24"/>
      <c r="BH29" s="9">
        <v>2500</v>
      </c>
      <c r="BI29" s="9">
        <v>1400</v>
      </c>
      <c r="BJ29" s="9">
        <v>5500</v>
      </c>
      <c r="BK29" s="9">
        <v>4700</v>
      </c>
      <c r="BL29" s="9">
        <v>6000</v>
      </c>
      <c r="BM29" s="9">
        <v>800</v>
      </c>
      <c r="BN29" s="9"/>
      <c r="BO29" s="11"/>
      <c r="BP29" s="68">
        <v>35000</v>
      </c>
      <c r="BQ29" s="68">
        <v>4320</v>
      </c>
      <c r="BR29" s="10"/>
      <c r="BS29" s="10"/>
      <c r="BT29" s="10"/>
      <c r="BU29" s="10"/>
      <c r="BV29" s="21"/>
      <c r="BW29" s="20"/>
      <c r="BX29" s="10"/>
      <c r="BY29" s="11"/>
      <c r="BZ29" s="24"/>
      <c r="CA29" s="24"/>
      <c r="CB29" s="24"/>
      <c r="CC29" s="9">
        <v>5500</v>
      </c>
      <c r="CD29" s="9">
        <v>3500</v>
      </c>
      <c r="CE29" s="9">
        <v>900</v>
      </c>
      <c r="CF29" s="9">
        <v>20000</v>
      </c>
      <c r="CG29" s="9">
        <v>6000</v>
      </c>
      <c r="CH29" s="9"/>
      <c r="CI29" s="9"/>
      <c r="CJ29" s="11"/>
      <c r="CK29" s="68">
        <v>2500</v>
      </c>
      <c r="CL29" s="68"/>
      <c r="CM29" s="10"/>
      <c r="CN29" s="68">
        <v>1600</v>
      </c>
      <c r="CO29" s="68">
        <v>3000</v>
      </c>
      <c r="CP29" s="10"/>
      <c r="CQ29" s="21"/>
      <c r="CR29" s="20" t="s">
        <v>50</v>
      </c>
      <c r="CS29" s="10">
        <v>300000</v>
      </c>
      <c r="CT29" s="11"/>
      <c r="CU29" s="24"/>
      <c r="CV29" s="24"/>
    </row>
    <row r="30" ht="15.6" spans="1:100">
      <c r="A30" s="9">
        <v>8000</v>
      </c>
      <c r="B30" s="9">
        <v>5000</v>
      </c>
      <c r="C30" s="9">
        <v>10000</v>
      </c>
      <c r="D30" s="9"/>
      <c r="E30" s="9"/>
      <c r="F30" s="9"/>
      <c r="G30" s="9"/>
      <c r="H30" s="11"/>
      <c r="I30" s="68">
        <v>28000</v>
      </c>
      <c r="J30" s="68">
        <v>66000</v>
      </c>
      <c r="K30" s="10"/>
      <c r="L30" s="68">
        <v>7100</v>
      </c>
      <c r="M30" s="21"/>
      <c r="N30" s="81"/>
      <c r="O30" s="10"/>
      <c r="P30" s="11"/>
      <c r="Q30" s="24"/>
      <c r="R30" s="24"/>
      <c r="S30" s="24"/>
      <c r="T30" s="9">
        <v>2200</v>
      </c>
      <c r="U30" s="9">
        <v>3000</v>
      </c>
      <c r="V30" s="9">
        <v>10000</v>
      </c>
      <c r="W30" s="9">
        <v>7300</v>
      </c>
      <c r="X30" s="9">
        <v>5000</v>
      </c>
      <c r="Y30" s="9"/>
      <c r="Z30" s="9"/>
      <c r="AA30" s="11"/>
      <c r="AB30" s="10"/>
      <c r="AC30" s="10"/>
      <c r="AD30" s="10"/>
      <c r="AE30" s="10"/>
      <c r="AF30" s="21"/>
      <c r="AG30" s="81"/>
      <c r="AH30" s="10"/>
      <c r="AI30" s="11"/>
      <c r="AJ30" s="24"/>
      <c r="AK30" s="24"/>
      <c r="AM30" s="9">
        <v>40000</v>
      </c>
      <c r="AN30" s="9">
        <v>17500</v>
      </c>
      <c r="AO30" s="9">
        <v>1000</v>
      </c>
      <c r="AP30" s="9">
        <v>1300</v>
      </c>
      <c r="AQ30" s="9">
        <v>1500</v>
      </c>
      <c r="AR30" s="9">
        <v>2000</v>
      </c>
      <c r="AS30" s="9"/>
      <c r="AT30" s="83"/>
      <c r="AU30" s="86">
        <v>5760</v>
      </c>
      <c r="AV30" s="68">
        <v>30000</v>
      </c>
      <c r="AW30" s="94">
        <v>1100</v>
      </c>
      <c r="AX30" s="95">
        <v>103000</v>
      </c>
      <c r="AY30" s="68">
        <v>9000</v>
      </c>
      <c r="AZ30" s="96"/>
      <c r="BA30" s="21"/>
      <c r="BB30" s="93"/>
      <c r="BC30" s="10"/>
      <c r="BD30" s="11"/>
      <c r="BE30" s="24"/>
      <c r="BF30" s="24"/>
      <c r="BH30" s="9">
        <v>1500</v>
      </c>
      <c r="BI30" s="9">
        <v>7000</v>
      </c>
      <c r="BJ30" s="9">
        <v>2700</v>
      </c>
      <c r="BK30" s="9">
        <v>8000</v>
      </c>
      <c r="BL30" s="9">
        <v>2000</v>
      </c>
      <c r="BM30" s="9">
        <v>17000</v>
      </c>
      <c r="BN30" s="9"/>
      <c r="BO30" s="11"/>
      <c r="BP30" s="68">
        <v>11000</v>
      </c>
      <c r="BQ30" s="68">
        <v>32230</v>
      </c>
      <c r="BR30" s="10"/>
      <c r="BS30" s="10"/>
      <c r="BT30" s="10"/>
      <c r="BU30" s="10"/>
      <c r="BV30" s="21"/>
      <c r="BW30" s="20" t="s">
        <v>50</v>
      </c>
      <c r="BX30" s="10">
        <v>300000</v>
      </c>
      <c r="BY30" s="11"/>
      <c r="BZ30" s="24"/>
      <c r="CA30" s="24"/>
      <c r="CB30" s="24"/>
      <c r="CC30" s="9">
        <v>7000</v>
      </c>
      <c r="CD30" s="9">
        <v>3000</v>
      </c>
      <c r="CE30" s="9">
        <v>3000</v>
      </c>
      <c r="CF30" s="9">
        <v>800</v>
      </c>
      <c r="CG30" s="9">
        <v>12000</v>
      </c>
      <c r="CH30" s="9"/>
      <c r="CI30" s="9"/>
      <c r="CJ30" s="11"/>
      <c r="CK30" s="68">
        <v>5400</v>
      </c>
      <c r="CL30" s="68"/>
      <c r="CM30" s="10"/>
      <c r="CN30" s="68">
        <v>7000</v>
      </c>
      <c r="CO30" s="68">
        <v>1000</v>
      </c>
      <c r="CP30" s="10"/>
      <c r="CQ30" s="21"/>
      <c r="CR30" s="20" t="s">
        <v>53</v>
      </c>
      <c r="CS30" s="10">
        <v>46500</v>
      </c>
      <c r="CT30" s="11"/>
      <c r="CU30" s="24"/>
      <c r="CV30" s="24"/>
    </row>
    <row r="31" ht="15.6" spans="1:100">
      <c r="A31" s="9">
        <v>5800</v>
      </c>
      <c r="B31" s="9">
        <v>4600</v>
      </c>
      <c r="C31" s="9">
        <v>20000</v>
      </c>
      <c r="D31" s="9"/>
      <c r="E31" s="9"/>
      <c r="F31" s="9"/>
      <c r="G31" s="9"/>
      <c r="H31" s="11"/>
      <c r="I31" s="68">
        <v>2300</v>
      </c>
      <c r="J31" s="68">
        <v>26000</v>
      </c>
      <c r="K31" s="10"/>
      <c r="L31" s="68">
        <v>20000</v>
      </c>
      <c r="M31" s="21"/>
      <c r="N31" s="81" t="s">
        <v>50</v>
      </c>
      <c r="O31" s="10">
        <v>300000</v>
      </c>
      <c r="P31" s="11"/>
      <c r="Q31" s="24"/>
      <c r="R31" s="24"/>
      <c r="S31" s="24"/>
      <c r="T31" s="9">
        <v>5000</v>
      </c>
      <c r="U31" s="9">
        <v>3000</v>
      </c>
      <c r="V31" s="9">
        <v>5000</v>
      </c>
      <c r="W31" s="9">
        <v>2800</v>
      </c>
      <c r="X31" s="9">
        <v>9000</v>
      </c>
      <c r="Y31" s="9"/>
      <c r="Z31" s="9"/>
      <c r="AA31" s="11"/>
      <c r="AB31" s="10"/>
      <c r="AC31" s="10"/>
      <c r="AD31" s="10"/>
      <c r="AE31" s="10"/>
      <c r="AF31" s="21"/>
      <c r="AG31" s="81"/>
      <c r="AH31" s="10"/>
      <c r="AI31" s="11"/>
      <c r="AJ31" s="24"/>
      <c r="AK31" s="24"/>
      <c r="AM31" s="9">
        <v>15000</v>
      </c>
      <c r="AN31" s="9">
        <v>48000</v>
      </c>
      <c r="AO31" s="9">
        <v>2000</v>
      </c>
      <c r="AP31" s="9">
        <v>8500</v>
      </c>
      <c r="AQ31" s="9">
        <v>27000</v>
      </c>
      <c r="AR31" s="9">
        <v>35000</v>
      </c>
      <c r="AS31" s="9"/>
      <c r="AT31" s="83"/>
      <c r="AU31" s="86">
        <v>8500</v>
      </c>
      <c r="AV31" s="68">
        <v>14000</v>
      </c>
      <c r="AW31" s="94">
        <v>67000</v>
      </c>
      <c r="AX31" s="95">
        <v>6500</v>
      </c>
      <c r="AY31" s="68">
        <v>5000</v>
      </c>
      <c r="AZ31" s="96"/>
      <c r="BA31" s="21"/>
      <c r="BB31" s="93"/>
      <c r="BC31" s="10"/>
      <c r="BD31" s="11"/>
      <c r="BE31" s="24"/>
      <c r="BF31" s="24"/>
      <c r="BH31" s="9">
        <v>450</v>
      </c>
      <c r="BI31" s="9">
        <v>7000</v>
      </c>
      <c r="BJ31" s="9">
        <v>11900</v>
      </c>
      <c r="BK31" s="9">
        <v>6000</v>
      </c>
      <c r="BL31" s="9">
        <v>6000</v>
      </c>
      <c r="BM31" s="9">
        <v>12500</v>
      </c>
      <c r="BN31" s="9"/>
      <c r="BO31" s="11"/>
      <c r="BP31" s="68">
        <v>7000</v>
      </c>
      <c r="BQ31" s="68">
        <v>13210</v>
      </c>
      <c r="BR31" s="10"/>
      <c r="BS31" s="10"/>
      <c r="BT31" s="10"/>
      <c r="BU31" s="10"/>
      <c r="BV31" s="21"/>
      <c r="BW31" s="20" t="s">
        <v>53</v>
      </c>
      <c r="BX31" s="10">
        <v>100000</v>
      </c>
      <c r="BY31" s="11"/>
      <c r="BZ31" s="24"/>
      <c r="CA31" s="24"/>
      <c r="CB31" s="24"/>
      <c r="CC31" s="9">
        <v>2800</v>
      </c>
      <c r="CD31" s="9">
        <v>2000</v>
      </c>
      <c r="CE31" s="9">
        <v>75000</v>
      </c>
      <c r="CF31" s="9">
        <v>8200</v>
      </c>
      <c r="CG31" s="9">
        <v>8000</v>
      </c>
      <c r="CH31" s="9"/>
      <c r="CI31" s="9"/>
      <c r="CJ31" s="11"/>
      <c r="CK31" s="68">
        <v>93500</v>
      </c>
      <c r="CL31" s="68"/>
      <c r="CM31" s="10"/>
      <c r="CN31" s="68">
        <v>1900</v>
      </c>
      <c r="CO31" s="68"/>
      <c r="CP31" s="10"/>
      <c r="CQ31" s="21"/>
      <c r="CR31" s="20" t="s">
        <v>53</v>
      </c>
      <c r="CS31" s="10">
        <v>100000</v>
      </c>
      <c r="CT31" s="11"/>
      <c r="CU31" s="24"/>
      <c r="CV31" s="24"/>
    </row>
    <row r="32" ht="15.6" spans="1:100">
      <c r="A32" s="9">
        <v>6500</v>
      </c>
      <c r="B32" s="9">
        <v>1000</v>
      </c>
      <c r="C32" s="9">
        <v>6000</v>
      </c>
      <c r="D32" s="9"/>
      <c r="E32" s="9"/>
      <c r="F32" s="9"/>
      <c r="G32" s="9"/>
      <c r="H32" s="11"/>
      <c r="I32" s="68">
        <v>5000</v>
      </c>
      <c r="J32" s="10"/>
      <c r="K32" s="10"/>
      <c r="L32" s="68">
        <v>18000</v>
      </c>
      <c r="M32" s="21"/>
      <c r="N32" s="81" t="s">
        <v>53</v>
      </c>
      <c r="O32" s="10">
        <v>300000</v>
      </c>
      <c r="P32" s="11"/>
      <c r="Q32" s="24"/>
      <c r="R32" s="24"/>
      <c r="S32" s="24"/>
      <c r="T32" s="9">
        <v>1500</v>
      </c>
      <c r="U32" s="9">
        <v>400</v>
      </c>
      <c r="V32" s="9">
        <v>1000</v>
      </c>
      <c r="W32" s="9">
        <v>4000</v>
      </c>
      <c r="X32" s="9">
        <v>800</v>
      </c>
      <c r="Y32" s="9"/>
      <c r="Z32" s="9"/>
      <c r="AA32" s="11"/>
      <c r="AB32" s="10"/>
      <c r="AC32" s="10"/>
      <c r="AD32" s="10"/>
      <c r="AE32" s="10"/>
      <c r="AF32" s="21"/>
      <c r="AG32" s="81"/>
      <c r="AH32" s="10"/>
      <c r="AI32" s="11"/>
      <c r="AJ32" s="24"/>
      <c r="AK32" s="24"/>
      <c r="AM32" s="9">
        <v>40000</v>
      </c>
      <c r="AN32" s="9">
        <v>6500</v>
      </c>
      <c r="AO32" s="9">
        <v>1000</v>
      </c>
      <c r="AP32" s="9">
        <v>24900</v>
      </c>
      <c r="AQ32" s="9">
        <v>5300</v>
      </c>
      <c r="AR32" s="9">
        <v>1400</v>
      </c>
      <c r="AS32" s="9"/>
      <c r="AT32" s="83"/>
      <c r="AU32" s="86">
        <v>1200</v>
      </c>
      <c r="AV32" s="68">
        <v>9120</v>
      </c>
      <c r="AW32" s="94">
        <v>70000</v>
      </c>
      <c r="AX32" s="95">
        <v>6500</v>
      </c>
      <c r="AY32" s="68"/>
      <c r="AZ32" s="96"/>
      <c r="BA32" s="21"/>
      <c r="BB32" s="93"/>
      <c r="BC32" s="10"/>
      <c r="BD32" s="11"/>
      <c r="BE32" s="24"/>
      <c r="BF32" s="24"/>
      <c r="BH32" s="9">
        <v>9800</v>
      </c>
      <c r="BI32" s="9">
        <v>8000</v>
      </c>
      <c r="BJ32" s="9">
        <v>2500</v>
      </c>
      <c r="BK32" s="9">
        <v>1000</v>
      </c>
      <c r="BL32" s="9">
        <v>8000</v>
      </c>
      <c r="BM32" s="9">
        <v>3500</v>
      </c>
      <c r="BN32" s="9"/>
      <c r="BO32" s="11"/>
      <c r="BP32" s="68">
        <v>4000</v>
      </c>
      <c r="BQ32" s="68">
        <v>5760</v>
      </c>
      <c r="BR32" s="10"/>
      <c r="BS32" s="10"/>
      <c r="BT32" s="10"/>
      <c r="BU32" s="10"/>
      <c r="BV32" s="21"/>
      <c r="BW32" s="20" t="s">
        <v>53</v>
      </c>
      <c r="BX32" s="10">
        <v>200000</v>
      </c>
      <c r="BY32" s="11"/>
      <c r="BZ32" s="24"/>
      <c r="CA32" s="24"/>
      <c r="CB32" s="24"/>
      <c r="CC32" s="9">
        <v>12200</v>
      </c>
      <c r="CD32" s="9">
        <v>7500</v>
      </c>
      <c r="CE32" s="9">
        <v>8500</v>
      </c>
      <c r="CF32" s="9">
        <v>5500</v>
      </c>
      <c r="CG32" s="9">
        <v>1500</v>
      </c>
      <c r="CH32" s="9"/>
      <c r="CI32" s="9"/>
      <c r="CJ32" s="11"/>
      <c r="CK32" s="68">
        <v>29210</v>
      </c>
      <c r="CL32" s="68"/>
      <c r="CM32" s="10"/>
      <c r="CN32" s="68">
        <v>5000</v>
      </c>
      <c r="CO32" s="68"/>
      <c r="CP32" s="10"/>
      <c r="CQ32" s="21"/>
      <c r="CR32" s="20" t="s">
        <v>53</v>
      </c>
      <c r="CS32" s="10">
        <v>153500</v>
      </c>
      <c r="CT32" s="11"/>
      <c r="CU32" s="24"/>
      <c r="CV32" s="24"/>
    </row>
    <row r="33" ht="15.6" spans="1:100">
      <c r="A33" s="9">
        <v>1800</v>
      </c>
      <c r="B33" s="9">
        <v>10000</v>
      </c>
      <c r="C33" s="9">
        <v>2200</v>
      </c>
      <c r="D33" s="9"/>
      <c r="E33" s="9"/>
      <c r="F33" s="9"/>
      <c r="G33" s="9"/>
      <c r="H33" s="11"/>
      <c r="I33" s="68">
        <v>6000</v>
      </c>
      <c r="J33" s="10"/>
      <c r="K33" s="10"/>
      <c r="L33" s="68">
        <v>3000</v>
      </c>
      <c r="M33" s="21"/>
      <c r="N33" s="81"/>
      <c r="O33" s="10"/>
      <c r="P33" s="11"/>
      <c r="Q33" s="24"/>
      <c r="R33" s="24"/>
      <c r="S33" s="24"/>
      <c r="T33" s="9">
        <v>8500</v>
      </c>
      <c r="U33" s="9">
        <v>2000</v>
      </c>
      <c r="V33" s="9">
        <v>2500</v>
      </c>
      <c r="W33" s="9">
        <v>600</v>
      </c>
      <c r="X33" s="9">
        <v>2500</v>
      </c>
      <c r="Y33" s="9"/>
      <c r="Z33" s="9"/>
      <c r="AA33" s="11"/>
      <c r="AB33" s="10"/>
      <c r="AC33" s="10"/>
      <c r="AD33" s="10"/>
      <c r="AE33" s="10"/>
      <c r="AF33" s="21"/>
      <c r="AG33" s="81"/>
      <c r="AH33" s="10"/>
      <c r="AI33" s="11"/>
      <c r="AJ33" s="24"/>
      <c r="AK33" s="24"/>
      <c r="AM33" s="9">
        <v>1000</v>
      </c>
      <c r="AN33" s="9">
        <v>8800</v>
      </c>
      <c r="AO33" s="9">
        <v>12500</v>
      </c>
      <c r="AP33" s="9">
        <v>2000</v>
      </c>
      <c r="AQ33" s="9">
        <v>13000</v>
      </c>
      <c r="AR33" s="9">
        <v>3000</v>
      </c>
      <c r="AS33" s="9"/>
      <c r="AT33" s="83"/>
      <c r="AU33" s="86">
        <v>8500</v>
      </c>
      <c r="AV33" s="68">
        <v>4000</v>
      </c>
      <c r="AW33" s="94">
        <v>7200</v>
      </c>
      <c r="AX33" s="95">
        <v>900</v>
      </c>
      <c r="AY33" s="68"/>
      <c r="AZ33" s="96"/>
      <c r="BA33" s="21"/>
      <c r="BB33" s="93"/>
      <c r="BC33" s="10"/>
      <c r="BD33" s="11"/>
      <c r="BE33" s="24"/>
      <c r="BF33" s="24"/>
      <c r="BH33" s="9">
        <v>2000</v>
      </c>
      <c r="BI33" s="9">
        <v>40000</v>
      </c>
      <c r="BJ33" s="9">
        <v>30000</v>
      </c>
      <c r="BK33" s="9">
        <v>3000</v>
      </c>
      <c r="BL33" s="9">
        <v>13000</v>
      </c>
      <c r="BM33" s="9">
        <v>2000</v>
      </c>
      <c r="BN33" s="9"/>
      <c r="BO33" s="11"/>
      <c r="BP33" s="68">
        <v>51000</v>
      </c>
      <c r="BQ33" s="68">
        <v>1440</v>
      </c>
      <c r="BR33" s="10"/>
      <c r="BS33" s="10"/>
      <c r="BT33" s="10"/>
      <c r="BU33" s="10"/>
      <c r="BV33" s="21"/>
      <c r="BW33" s="20"/>
      <c r="BX33" s="10"/>
      <c r="BY33" s="11"/>
      <c r="BZ33" s="24"/>
      <c r="CA33" s="24"/>
      <c r="CB33" s="24"/>
      <c r="CC33" s="9">
        <v>6000</v>
      </c>
      <c r="CD33" s="9">
        <v>600</v>
      </c>
      <c r="CE33" s="9">
        <v>4000</v>
      </c>
      <c r="CF33" s="9">
        <v>800</v>
      </c>
      <c r="CG33" s="9">
        <v>3500</v>
      </c>
      <c r="CH33" s="9"/>
      <c r="CI33" s="9"/>
      <c r="CJ33" s="11"/>
      <c r="CK33" s="68">
        <v>59000</v>
      </c>
      <c r="CL33" s="68"/>
      <c r="CM33" s="10"/>
      <c r="CN33" s="68">
        <v>7000</v>
      </c>
      <c r="CO33" s="68"/>
      <c r="CP33" s="10"/>
      <c r="CQ33" s="21"/>
      <c r="CR33" s="20"/>
      <c r="CS33" s="10"/>
      <c r="CT33" s="11"/>
      <c r="CU33" s="24"/>
      <c r="CV33" s="24"/>
    </row>
    <row r="34" ht="15.6" spans="1:100">
      <c r="A34" s="9">
        <v>6700</v>
      </c>
      <c r="B34" s="9">
        <v>5500</v>
      </c>
      <c r="C34" s="9">
        <v>9000</v>
      </c>
      <c r="D34" s="9"/>
      <c r="E34" s="9"/>
      <c r="F34" s="9"/>
      <c r="G34" s="9"/>
      <c r="H34" s="11"/>
      <c r="I34" s="68">
        <v>960</v>
      </c>
      <c r="J34" s="10"/>
      <c r="K34" s="10"/>
      <c r="L34" s="68">
        <v>5200</v>
      </c>
      <c r="M34" s="21"/>
      <c r="N34" s="81"/>
      <c r="O34" s="10"/>
      <c r="P34" s="11"/>
      <c r="Q34" s="24"/>
      <c r="R34" s="34"/>
      <c r="S34" s="24"/>
      <c r="T34" s="9">
        <v>4000</v>
      </c>
      <c r="U34" s="9">
        <v>21000</v>
      </c>
      <c r="V34" s="9">
        <v>5500</v>
      </c>
      <c r="W34" s="9">
        <v>12250</v>
      </c>
      <c r="X34" s="9">
        <v>5500</v>
      </c>
      <c r="Y34" s="9"/>
      <c r="Z34" s="9"/>
      <c r="AA34" s="11"/>
      <c r="AB34" s="10"/>
      <c r="AC34" s="10"/>
      <c r="AD34" s="10"/>
      <c r="AE34" s="10"/>
      <c r="AF34" s="21"/>
      <c r="AG34" s="81" t="s">
        <v>50</v>
      </c>
      <c r="AH34" s="10">
        <v>300000</v>
      </c>
      <c r="AI34" s="11"/>
      <c r="AJ34" s="24"/>
      <c r="AK34" s="34"/>
      <c r="AM34" s="9">
        <v>3000</v>
      </c>
      <c r="AN34" s="9">
        <v>9500</v>
      </c>
      <c r="AO34" s="9">
        <v>1100</v>
      </c>
      <c r="AP34" s="9">
        <v>2700</v>
      </c>
      <c r="AQ34" s="9">
        <v>8800</v>
      </c>
      <c r="AR34" s="9">
        <v>6000</v>
      </c>
      <c r="AS34" s="9"/>
      <c r="AT34" s="83"/>
      <c r="AU34" s="86">
        <v>24000</v>
      </c>
      <c r="AV34" s="68">
        <v>4500</v>
      </c>
      <c r="AW34" s="94"/>
      <c r="AX34" s="95">
        <v>3000</v>
      </c>
      <c r="AY34" s="68"/>
      <c r="AZ34" s="96"/>
      <c r="BA34" s="21"/>
      <c r="BB34" s="93"/>
      <c r="BC34" s="10"/>
      <c r="BD34" s="11"/>
      <c r="BE34" s="24"/>
      <c r="BF34" s="34"/>
      <c r="BH34" s="9">
        <v>7500</v>
      </c>
      <c r="BI34" s="9">
        <v>4000</v>
      </c>
      <c r="BJ34" s="9">
        <v>12000</v>
      </c>
      <c r="BK34" s="9">
        <v>2800</v>
      </c>
      <c r="BL34" s="9">
        <v>7500</v>
      </c>
      <c r="BM34" s="9">
        <v>5000</v>
      </c>
      <c r="BN34" s="9"/>
      <c r="BO34" s="11"/>
      <c r="BP34" s="68">
        <v>5500</v>
      </c>
      <c r="BQ34" s="68">
        <v>20170</v>
      </c>
      <c r="BR34" s="10"/>
      <c r="BS34" s="10"/>
      <c r="BT34" s="10"/>
      <c r="BU34" s="10"/>
      <c r="BV34" s="21"/>
      <c r="BW34" s="20"/>
      <c r="BX34" s="10"/>
      <c r="BY34" s="11"/>
      <c r="BZ34" s="24"/>
      <c r="CA34" s="34"/>
      <c r="CB34" s="24"/>
      <c r="CC34" s="9">
        <v>9600</v>
      </c>
      <c r="CD34" s="9">
        <v>4000</v>
      </c>
      <c r="CE34" s="9">
        <v>2000</v>
      </c>
      <c r="CF34" s="9">
        <v>1500</v>
      </c>
      <c r="CG34" s="9">
        <v>8500</v>
      </c>
      <c r="CH34" s="9"/>
      <c r="CI34" s="9"/>
      <c r="CJ34" s="11"/>
      <c r="CK34" s="68">
        <v>65040</v>
      </c>
      <c r="CL34" s="68"/>
      <c r="CM34" s="10"/>
      <c r="CN34" s="68">
        <v>7500</v>
      </c>
      <c r="CO34" s="68"/>
      <c r="CP34" s="10"/>
      <c r="CQ34" s="21"/>
      <c r="CR34" s="20"/>
      <c r="CS34" s="10"/>
      <c r="CT34" s="11"/>
      <c r="CU34" s="24"/>
      <c r="CV34" s="34"/>
    </row>
    <row r="35" ht="16.35" spans="1:100">
      <c r="A35" s="9">
        <v>1500</v>
      </c>
      <c r="B35" s="9">
        <v>6000</v>
      </c>
      <c r="C35" s="9">
        <v>5500</v>
      </c>
      <c r="D35" s="9"/>
      <c r="E35" s="9"/>
      <c r="F35" s="9"/>
      <c r="G35" s="9"/>
      <c r="H35" s="11"/>
      <c r="I35" s="68">
        <v>10500</v>
      </c>
      <c r="J35" s="10"/>
      <c r="K35" s="10"/>
      <c r="L35" s="68">
        <v>25500</v>
      </c>
      <c r="M35" s="21"/>
      <c r="N35" s="81"/>
      <c r="O35" s="10"/>
      <c r="P35" s="11"/>
      <c r="Q35" s="24"/>
      <c r="R35" s="24"/>
      <c r="S35" s="24"/>
      <c r="T35" s="9">
        <v>4500</v>
      </c>
      <c r="U35" s="9">
        <v>2000</v>
      </c>
      <c r="V35" s="9">
        <v>4500</v>
      </c>
      <c r="W35" s="9">
        <v>2000</v>
      </c>
      <c r="X35" s="9">
        <v>25800</v>
      </c>
      <c r="Y35" s="9"/>
      <c r="Z35" s="9"/>
      <c r="AA35" s="11"/>
      <c r="AB35" s="10"/>
      <c r="AC35" s="10"/>
      <c r="AD35" s="10"/>
      <c r="AE35" s="10"/>
      <c r="AF35" s="21"/>
      <c r="AG35" s="81" t="s">
        <v>53</v>
      </c>
      <c r="AH35" s="10">
        <v>300000</v>
      </c>
      <c r="AI35" s="11"/>
      <c r="AJ35" s="24"/>
      <c r="AK35" s="24"/>
      <c r="AM35" s="9">
        <v>2500</v>
      </c>
      <c r="AN35" s="9">
        <v>3500</v>
      </c>
      <c r="AO35" s="9">
        <v>47900</v>
      </c>
      <c r="AP35" s="9">
        <v>2800</v>
      </c>
      <c r="AQ35" s="9">
        <v>17000</v>
      </c>
      <c r="AR35" s="9">
        <v>3600</v>
      </c>
      <c r="AS35" s="9"/>
      <c r="AT35" s="83"/>
      <c r="AU35" s="87">
        <v>2500</v>
      </c>
      <c r="AV35" s="88">
        <v>2770</v>
      </c>
      <c r="AW35" s="97"/>
      <c r="AX35" s="98">
        <v>15000</v>
      </c>
      <c r="AY35" s="88"/>
      <c r="AZ35" s="99"/>
      <c r="BA35" s="21"/>
      <c r="BB35" s="93"/>
      <c r="BC35" s="10"/>
      <c r="BD35" s="11"/>
      <c r="BE35" s="24"/>
      <c r="BF35" s="24"/>
      <c r="BH35" s="9">
        <v>8000</v>
      </c>
      <c r="BI35" s="9">
        <v>2000</v>
      </c>
      <c r="BJ35" s="9">
        <v>3000</v>
      </c>
      <c r="BK35" s="9">
        <v>1500</v>
      </c>
      <c r="BL35" s="9">
        <v>1500</v>
      </c>
      <c r="BM35" s="9">
        <v>3500</v>
      </c>
      <c r="BN35" s="9"/>
      <c r="BO35" s="11"/>
      <c r="BP35" s="68">
        <v>6240</v>
      </c>
      <c r="BQ35" s="68">
        <v>1440</v>
      </c>
      <c r="BR35" s="10"/>
      <c r="BS35" s="10"/>
      <c r="BT35" s="10"/>
      <c r="BU35" s="10"/>
      <c r="BV35" s="21"/>
      <c r="BW35" s="20"/>
      <c r="BX35" s="10"/>
      <c r="BY35" s="11"/>
      <c r="BZ35" s="24"/>
      <c r="CA35" s="24"/>
      <c r="CB35" s="24"/>
      <c r="CC35" s="9">
        <v>3000</v>
      </c>
      <c r="CD35" s="9">
        <v>16500</v>
      </c>
      <c r="CE35" s="9">
        <v>6000</v>
      </c>
      <c r="CF35" s="9">
        <v>9500</v>
      </c>
      <c r="CG35" s="9">
        <v>9000</v>
      </c>
      <c r="CH35" s="9"/>
      <c r="CI35" s="9"/>
      <c r="CJ35" s="11"/>
      <c r="CK35" s="68">
        <v>4800</v>
      </c>
      <c r="CL35" s="68"/>
      <c r="CM35" s="10"/>
      <c r="CN35" s="68">
        <v>6000</v>
      </c>
      <c r="CO35" s="68"/>
      <c r="CP35" s="10"/>
      <c r="CQ35" s="21"/>
      <c r="CR35" s="20"/>
      <c r="CS35" s="10"/>
      <c r="CT35" s="11"/>
      <c r="CU35" s="24"/>
      <c r="CV35" s="24"/>
    </row>
    <row r="36" spans="12:72">
      <c r="L36" s="4"/>
      <c r="AV36" s="35"/>
      <c r="AW36" s="36"/>
      <c r="AX36" s="36"/>
      <c r="AY36" s="36"/>
      <c r="AZ36" s="35"/>
      <c r="BA36" s="35"/>
      <c r="BB36" s="35"/>
      <c r="BT36" s="4"/>
    </row>
  </sheetData>
  <mergeCells count="61">
    <mergeCell ref="I1:L1"/>
    <mergeCell ref="N1:O1"/>
    <mergeCell ref="AB1:AE1"/>
    <mergeCell ref="AG1:AH1"/>
    <mergeCell ref="AU1:AZ1"/>
    <mergeCell ref="BB1:BC1"/>
    <mergeCell ref="BP1:BU1"/>
    <mergeCell ref="BW1:BX1"/>
    <mergeCell ref="CK1:CP1"/>
    <mergeCell ref="CR1:CS1"/>
    <mergeCell ref="Q1:Q2"/>
    <mergeCell ref="Q3:Q4"/>
    <mergeCell ref="Q5:Q6"/>
    <mergeCell ref="Q7:Q8"/>
    <mergeCell ref="R1:R2"/>
    <mergeCell ref="R3:R4"/>
    <mergeCell ref="R5:R6"/>
    <mergeCell ref="R7:R8"/>
    <mergeCell ref="AJ1:AJ2"/>
    <mergeCell ref="AJ3:AJ4"/>
    <mergeCell ref="AJ5:AJ6"/>
    <mergeCell ref="AJ7:AJ8"/>
    <mergeCell ref="AK1:AK2"/>
    <mergeCell ref="AK3:AK4"/>
    <mergeCell ref="AK5:AK6"/>
    <mergeCell ref="AK7:AK8"/>
    <mergeCell ref="BE1:BE2"/>
    <mergeCell ref="BE3:BE4"/>
    <mergeCell ref="BE5:BE6"/>
    <mergeCell ref="BE7:BE8"/>
    <mergeCell ref="BF1:BF2"/>
    <mergeCell ref="BF3:BF4"/>
    <mergeCell ref="BF5:BF6"/>
    <mergeCell ref="BF7:BF8"/>
    <mergeCell ref="BZ1:BZ2"/>
    <mergeCell ref="BZ3:BZ4"/>
    <mergeCell ref="BZ5:BZ6"/>
    <mergeCell ref="BZ7:BZ8"/>
    <mergeCell ref="CA1:CA2"/>
    <mergeCell ref="CA3:CA4"/>
    <mergeCell ref="CA5:CA6"/>
    <mergeCell ref="CA7:CA8"/>
    <mergeCell ref="CU1:CU2"/>
    <mergeCell ref="CU3:CU4"/>
    <mergeCell ref="CU5:CU6"/>
    <mergeCell ref="CU7:CU8"/>
    <mergeCell ref="CV1:CV2"/>
    <mergeCell ref="CV3:CV4"/>
    <mergeCell ref="CV5:CV6"/>
    <mergeCell ref="CV7:CV8"/>
    <mergeCell ref="CX11:CY12"/>
    <mergeCell ref="CZ11:DA12"/>
    <mergeCell ref="CX7:CY8"/>
    <mergeCell ref="CZ7:DA8"/>
    <mergeCell ref="CX9:CY10"/>
    <mergeCell ref="CZ9:DA10"/>
    <mergeCell ref="CX1:DA2"/>
    <mergeCell ref="CX5:CY6"/>
    <mergeCell ref="CZ5:DA6"/>
    <mergeCell ref="CX3:CY4"/>
    <mergeCell ref="CZ3:DA4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C36"/>
  <sheetViews>
    <sheetView zoomScale="83" zoomScaleNormal="83" topLeftCell="CH1" workbookViewId="0">
      <selection activeCell="DB9" sqref="DB9:DC10"/>
    </sheetView>
  </sheetViews>
  <sheetFormatPr defaultColWidth="11" defaultRowHeight="14.4"/>
  <cols>
    <col min="1" max="7" width="11.712962962963" customWidth="1"/>
    <col min="8" max="8" width="1.71296296296296" customWidth="1"/>
    <col min="9" max="14" width="11.712962962963" customWidth="1"/>
    <col min="15" max="15" width="1.71296296296296" customWidth="1"/>
    <col min="16" max="17" width="11.712962962963" customWidth="1"/>
    <col min="18" max="18" width="1.71296296296296" customWidth="1"/>
    <col min="19" max="19" width="11.712962962963" customWidth="1"/>
    <col min="20" max="20" width="16.287037037037" customWidth="1"/>
    <col min="22" max="22" width="12.4259259259259" customWidth="1"/>
    <col min="23" max="23" width="11.1388888888889" customWidth="1"/>
    <col min="24" max="25" width="11" customWidth="1"/>
    <col min="26" max="26" width="13" customWidth="1"/>
    <col min="27" max="27" width="13.1388888888889" customWidth="1"/>
    <col min="28" max="28" width="12.8518518518519" customWidth="1"/>
    <col min="29" max="29" width="1.71296296296296" customWidth="1"/>
    <col min="30" max="30" width="10.8518518518519" customWidth="1"/>
    <col min="31" max="33" width="12" customWidth="1"/>
    <col min="34" max="34" width="13.712962962963" customWidth="1"/>
    <col min="35" max="35" width="12.1388888888889" customWidth="1"/>
    <col min="36" max="36" width="1.71296296296296" customWidth="1"/>
    <col min="37" max="38" width="12" customWidth="1"/>
    <col min="39" max="39" width="1.71296296296296" customWidth="1"/>
    <col min="40" max="40" width="15.1388888888889" customWidth="1"/>
    <col min="41" max="41" width="16.287037037037" customWidth="1"/>
    <col min="43" max="49" width="11.712962962963" customWidth="1"/>
    <col min="50" max="50" width="1.71296296296296" customWidth="1"/>
    <col min="51" max="56" width="11.712962962963" customWidth="1"/>
    <col min="57" max="57" width="1.71296296296296" customWidth="1"/>
    <col min="58" max="58" width="11.712962962963" customWidth="1"/>
    <col min="59" max="59" width="13.712962962963" customWidth="1"/>
    <col min="60" max="60" width="1.71296296296296" customWidth="1"/>
    <col min="61" max="61" width="11.712962962963" customWidth="1"/>
    <col min="62" max="62" width="17.1388888888889" customWidth="1"/>
    <col min="64" max="70" width="11.712962962963" customWidth="1"/>
    <col min="71" max="71" width="1.71296296296296" customWidth="1"/>
    <col min="72" max="77" width="11.712962962963" customWidth="1"/>
    <col min="78" max="78" width="1.71296296296296" customWidth="1"/>
    <col min="79" max="80" width="11.712962962963" customWidth="1"/>
    <col min="81" max="81" width="1.71296296296296" customWidth="1"/>
    <col min="82" max="82" width="11.712962962963" customWidth="1"/>
    <col min="83" max="83" width="16.287037037037" customWidth="1"/>
    <col min="85" max="91" width="11.712962962963" customWidth="1"/>
    <col min="92" max="92" width="1.71296296296296" customWidth="1"/>
    <col min="93" max="96" width="11.712962962963" customWidth="1"/>
    <col min="97" max="97" width="1.71296296296296" customWidth="1"/>
    <col min="98" max="99" width="11.712962962963" customWidth="1"/>
    <col min="100" max="100" width="1.71296296296296" customWidth="1"/>
    <col min="101" max="101" width="11.712962962963" customWidth="1"/>
    <col min="102" max="102" width="14.5740740740741" customWidth="1"/>
    <col min="103" max="103" width="9.42592592592593" customWidth="1"/>
    <col min="104" max="104" width="8.28703703703704" customWidth="1"/>
    <col min="105" max="105" width="7.13888888888889" customWidth="1"/>
    <col min="106" max="106" width="6.85185185185185" customWidth="1"/>
    <col min="107" max="107" width="17.5740740740741" customWidth="1"/>
  </cols>
  <sheetData>
    <row r="1" ht="15" customHeight="1" spans="1:107">
      <c r="A1" s="10">
        <v>12000</v>
      </c>
      <c r="B1" s="10">
        <v>3500</v>
      </c>
      <c r="C1" s="10">
        <v>2100</v>
      </c>
      <c r="D1" s="10">
        <v>3500</v>
      </c>
      <c r="E1" s="10">
        <v>2500</v>
      </c>
      <c r="F1" s="10">
        <v>10400</v>
      </c>
      <c r="G1" s="10">
        <v>419100</v>
      </c>
      <c r="H1" s="11"/>
      <c r="I1" s="13" t="s">
        <v>0</v>
      </c>
      <c r="J1" s="14"/>
      <c r="K1" s="14"/>
      <c r="L1" s="14"/>
      <c r="M1" s="14"/>
      <c r="N1" s="15"/>
      <c r="O1" s="11"/>
      <c r="P1" s="16" t="s">
        <v>1</v>
      </c>
      <c r="Q1" s="17"/>
      <c r="R1" s="11"/>
      <c r="S1" s="22" t="s">
        <v>2</v>
      </c>
      <c r="T1" s="23"/>
      <c r="U1" s="24"/>
      <c r="V1" s="10">
        <v>8500</v>
      </c>
      <c r="W1" s="10">
        <v>4000</v>
      </c>
      <c r="X1" s="10">
        <v>4000</v>
      </c>
      <c r="Y1" s="10">
        <v>6000</v>
      </c>
      <c r="Z1" s="10">
        <v>300</v>
      </c>
      <c r="AA1" s="10">
        <v>553100</v>
      </c>
      <c r="AB1" s="10"/>
      <c r="AC1" s="11"/>
      <c r="AD1" s="13" t="s">
        <v>0</v>
      </c>
      <c r="AE1" s="14"/>
      <c r="AF1" s="14"/>
      <c r="AG1" s="14"/>
      <c r="AH1" s="14"/>
      <c r="AI1" s="15"/>
      <c r="AJ1" s="11"/>
      <c r="AK1" s="16" t="s">
        <v>1</v>
      </c>
      <c r="AL1" s="17"/>
      <c r="AM1" s="11"/>
      <c r="AN1" s="22" t="s">
        <v>2</v>
      </c>
      <c r="AO1" s="23"/>
      <c r="AQ1" s="10">
        <v>5000</v>
      </c>
      <c r="AR1" s="10">
        <v>1500</v>
      </c>
      <c r="AS1" s="10">
        <v>12500</v>
      </c>
      <c r="AT1" s="10">
        <v>6000</v>
      </c>
      <c r="AU1" s="10">
        <v>2000</v>
      </c>
      <c r="AV1" s="10">
        <v>13500</v>
      </c>
      <c r="AW1" s="10">
        <v>30000</v>
      </c>
      <c r="AX1" s="11"/>
      <c r="AY1" s="13" t="s">
        <v>0</v>
      </c>
      <c r="AZ1" s="14"/>
      <c r="BA1" s="14"/>
      <c r="BB1" s="14"/>
      <c r="BC1" s="14"/>
      <c r="BD1" s="15"/>
      <c r="BE1" s="11"/>
      <c r="BF1" s="16" t="s">
        <v>1</v>
      </c>
      <c r="BG1" s="17"/>
      <c r="BH1" s="11"/>
      <c r="BI1" s="22" t="s">
        <v>2</v>
      </c>
      <c r="BJ1" s="23"/>
      <c r="BL1" s="10">
        <v>1000</v>
      </c>
      <c r="BM1" s="10">
        <v>11000</v>
      </c>
      <c r="BN1" s="10">
        <v>22500</v>
      </c>
      <c r="BO1" s="10">
        <v>2500</v>
      </c>
      <c r="BP1" s="10">
        <v>1200</v>
      </c>
      <c r="BQ1" s="10">
        <v>5000</v>
      </c>
      <c r="BR1" s="10"/>
      <c r="BS1" s="11"/>
      <c r="BT1" s="13" t="s">
        <v>0</v>
      </c>
      <c r="BU1" s="14"/>
      <c r="BV1" s="14"/>
      <c r="BW1" s="14"/>
      <c r="BX1" s="14"/>
      <c r="BY1" s="15"/>
      <c r="BZ1" s="11"/>
      <c r="CA1" s="16" t="s">
        <v>1</v>
      </c>
      <c r="CB1" s="17"/>
      <c r="CC1" s="11"/>
      <c r="CD1" s="22" t="s">
        <v>2</v>
      </c>
      <c r="CE1" s="23"/>
      <c r="CG1" s="10"/>
      <c r="CH1" s="10"/>
      <c r="CI1" s="10"/>
      <c r="CJ1" s="10"/>
      <c r="CK1" s="10"/>
      <c r="CL1" s="10"/>
      <c r="CM1" s="10"/>
      <c r="CN1" s="11"/>
      <c r="CO1" s="13" t="s">
        <v>0</v>
      </c>
      <c r="CP1" s="14"/>
      <c r="CQ1" s="14"/>
      <c r="CR1" s="15"/>
      <c r="CS1" s="11"/>
      <c r="CT1" s="16" t="s">
        <v>1</v>
      </c>
      <c r="CU1" s="17"/>
      <c r="CV1" s="11"/>
      <c r="CW1" s="22" t="s">
        <v>2</v>
      </c>
      <c r="CX1" s="23"/>
      <c r="CZ1" s="37" t="s">
        <v>3</v>
      </c>
      <c r="DA1" s="45"/>
      <c r="DB1" s="45"/>
      <c r="DC1" s="46"/>
    </row>
    <row r="2" ht="15" customHeight="1" spans="1:107">
      <c r="A2" s="12">
        <v>16100</v>
      </c>
      <c r="B2" s="12">
        <v>4000</v>
      </c>
      <c r="C2" s="12">
        <v>2500</v>
      </c>
      <c r="D2" s="12">
        <v>2000</v>
      </c>
      <c r="E2" s="12">
        <v>900</v>
      </c>
      <c r="F2" s="12">
        <v>3500</v>
      </c>
      <c r="G2" s="12">
        <v>17000</v>
      </c>
      <c r="H2" s="11"/>
      <c r="I2" s="68">
        <v>18000</v>
      </c>
      <c r="J2" s="68">
        <v>6400</v>
      </c>
      <c r="K2" s="68">
        <v>44100</v>
      </c>
      <c r="L2" s="68">
        <v>24900</v>
      </c>
      <c r="M2" s="68">
        <v>4000</v>
      </c>
      <c r="N2" s="68">
        <v>568150</v>
      </c>
      <c r="O2" s="11"/>
      <c r="P2" s="20" t="s">
        <v>55</v>
      </c>
      <c r="Q2" s="10">
        <v>126000</v>
      </c>
      <c r="R2" s="11"/>
      <c r="S2" s="25"/>
      <c r="T2" s="26"/>
      <c r="U2" s="24"/>
      <c r="V2" s="12">
        <v>400</v>
      </c>
      <c r="W2" s="12">
        <v>800</v>
      </c>
      <c r="X2" s="12">
        <v>4500</v>
      </c>
      <c r="Y2" s="12">
        <v>2500</v>
      </c>
      <c r="Z2" s="12">
        <v>500</v>
      </c>
      <c r="AA2" s="12">
        <v>8500</v>
      </c>
      <c r="AB2" s="12"/>
      <c r="AC2" s="11"/>
      <c r="AD2" s="68">
        <v>4700</v>
      </c>
      <c r="AE2" s="68">
        <v>3550</v>
      </c>
      <c r="AF2" s="10"/>
      <c r="AG2" s="68">
        <v>1800</v>
      </c>
      <c r="AH2" s="68">
        <v>20000</v>
      </c>
      <c r="AI2" s="68">
        <v>36000</v>
      </c>
      <c r="AJ2" s="11"/>
      <c r="AK2" s="20" t="s">
        <v>56</v>
      </c>
      <c r="AL2" s="10">
        <v>23200</v>
      </c>
      <c r="AM2" s="11"/>
      <c r="AN2" s="25"/>
      <c r="AO2" s="26"/>
      <c r="AQ2" s="12">
        <v>8500</v>
      </c>
      <c r="AR2" s="12">
        <v>5000</v>
      </c>
      <c r="AS2" s="12">
        <v>10500</v>
      </c>
      <c r="AT2" s="12">
        <v>3500</v>
      </c>
      <c r="AU2" s="12">
        <v>3000</v>
      </c>
      <c r="AV2" s="12">
        <v>1000</v>
      </c>
      <c r="AW2" s="12">
        <v>20000</v>
      </c>
      <c r="AX2" s="11"/>
      <c r="AY2" s="68">
        <v>29300</v>
      </c>
      <c r="AZ2" s="68">
        <v>6730</v>
      </c>
      <c r="BA2" s="68">
        <v>4000</v>
      </c>
      <c r="BB2" s="68">
        <v>15000</v>
      </c>
      <c r="BC2" s="68">
        <v>11000</v>
      </c>
      <c r="BD2" s="68">
        <v>30000</v>
      </c>
      <c r="BE2" s="11"/>
      <c r="BF2" s="20" t="s">
        <v>11</v>
      </c>
      <c r="BG2" s="10">
        <v>174770</v>
      </c>
      <c r="BH2" s="11"/>
      <c r="BI2" s="25"/>
      <c r="BJ2" s="26"/>
      <c r="BL2" s="12">
        <v>4000</v>
      </c>
      <c r="BM2" s="12">
        <v>2500</v>
      </c>
      <c r="BN2" s="12">
        <v>2100</v>
      </c>
      <c r="BO2" s="12">
        <v>1400</v>
      </c>
      <c r="BP2" s="12">
        <v>1500</v>
      </c>
      <c r="BQ2" s="12">
        <v>150000</v>
      </c>
      <c r="BR2" s="12"/>
      <c r="BS2" s="11"/>
      <c r="BT2" s="68">
        <v>2000</v>
      </c>
      <c r="BU2" s="68">
        <v>32520</v>
      </c>
      <c r="BV2" s="10"/>
      <c r="BW2" s="68">
        <v>15000</v>
      </c>
      <c r="BX2" s="68">
        <v>21300</v>
      </c>
      <c r="BY2" s="68">
        <v>27300</v>
      </c>
      <c r="BZ2" s="11"/>
      <c r="CA2" s="20" t="s">
        <v>10</v>
      </c>
      <c r="CB2" s="10">
        <v>70000</v>
      </c>
      <c r="CC2" s="11"/>
      <c r="CD2" s="25"/>
      <c r="CE2" s="26"/>
      <c r="CG2" s="12"/>
      <c r="CH2" s="12"/>
      <c r="CI2" s="12"/>
      <c r="CJ2" s="12"/>
      <c r="CK2" s="12"/>
      <c r="CL2" s="12"/>
      <c r="CM2" s="12"/>
      <c r="CN2" s="11"/>
      <c r="CO2" s="10"/>
      <c r="CP2" s="10"/>
      <c r="CQ2" s="10"/>
      <c r="CR2" s="10"/>
      <c r="CS2" s="11"/>
      <c r="CT2" s="18"/>
      <c r="CU2" s="10"/>
      <c r="CV2" s="11"/>
      <c r="CW2" s="25"/>
      <c r="CX2" s="26"/>
      <c r="CZ2" s="38"/>
      <c r="DA2" s="47"/>
      <c r="DB2" s="47"/>
      <c r="DC2" s="48"/>
    </row>
    <row r="3" ht="15" customHeight="1" spans="1:107">
      <c r="A3" s="9">
        <v>3700</v>
      </c>
      <c r="B3" s="9">
        <v>55000</v>
      </c>
      <c r="C3" s="9">
        <v>500</v>
      </c>
      <c r="D3" s="9">
        <v>31500</v>
      </c>
      <c r="E3" s="9">
        <v>1500</v>
      </c>
      <c r="F3" s="9">
        <v>3500</v>
      </c>
      <c r="G3" s="9">
        <v>2000</v>
      </c>
      <c r="H3" s="11"/>
      <c r="I3" s="68">
        <v>88300</v>
      </c>
      <c r="J3" s="68">
        <v>10000</v>
      </c>
      <c r="K3" s="68">
        <v>67000</v>
      </c>
      <c r="L3" s="68">
        <v>29250</v>
      </c>
      <c r="M3" s="68">
        <v>9700</v>
      </c>
      <c r="N3" s="68">
        <v>2500</v>
      </c>
      <c r="O3" s="19"/>
      <c r="P3" s="20" t="s">
        <v>18</v>
      </c>
      <c r="Q3" s="10">
        <v>858200</v>
      </c>
      <c r="R3" s="11">
        <v>1</v>
      </c>
      <c r="S3" s="27" t="s">
        <v>9</v>
      </c>
      <c r="T3" s="23">
        <f>SUM(A1:H35)</f>
        <v>2212880</v>
      </c>
      <c r="U3" s="24"/>
      <c r="V3" s="9">
        <v>2500</v>
      </c>
      <c r="W3" s="9">
        <v>4400</v>
      </c>
      <c r="X3" s="9">
        <v>11000</v>
      </c>
      <c r="Y3" s="9">
        <v>6500</v>
      </c>
      <c r="Z3" s="9">
        <v>2300</v>
      </c>
      <c r="AA3" s="9">
        <v>1500</v>
      </c>
      <c r="AB3" s="9"/>
      <c r="AC3" s="11"/>
      <c r="AD3" s="68">
        <v>3500</v>
      </c>
      <c r="AE3" s="68">
        <v>23060</v>
      </c>
      <c r="AF3" s="10"/>
      <c r="AG3" s="68">
        <v>6500</v>
      </c>
      <c r="AH3" s="68">
        <v>20500</v>
      </c>
      <c r="AI3" s="68">
        <v>15000</v>
      </c>
      <c r="AJ3" s="19"/>
      <c r="AK3" s="20" t="s">
        <v>38</v>
      </c>
      <c r="AL3" s="10">
        <v>70000</v>
      </c>
      <c r="AM3" s="11">
        <v>1</v>
      </c>
      <c r="AN3" s="27" t="s">
        <v>9</v>
      </c>
      <c r="AO3" s="23">
        <f>SUM(V1:AC35)</f>
        <v>1803700</v>
      </c>
      <c r="AQ3" s="9">
        <v>3000</v>
      </c>
      <c r="AR3" s="9">
        <v>5000</v>
      </c>
      <c r="AS3" s="9">
        <v>10000</v>
      </c>
      <c r="AT3" s="9">
        <v>1000</v>
      </c>
      <c r="AU3" s="9">
        <v>7500</v>
      </c>
      <c r="AV3" s="9">
        <v>71000</v>
      </c>
      <c r="AW3" s="9">
        <v>600</v>
      </c>
      <c r="AX3" s="11"/>
      <c r="AY3" s="68">
        <v>26000</v>
      </c>
      <c r="AZ3" s="68">
        <v>16230</v>
      </c>
      <c r="BA3" s="68">
        <v>12500</v>
      </c>
      <c r="BB3" s="68">
        <v>4000</v>
      </c>
      <c r="BC3" s="68">
        <v>4500</v>
      </c>
      <c r="BD3" s="68">
        <v>45540</v>
      </c>
      <c r="BE3" s="19"/>
      <c r="BF3" s="20" t="s">
        <v>57</v>
      </c>
      <c r="BG3" s="10">
        <v>800850</v>
      </c>
      <c r="BH3" s="11">
        <v>1</v>
      </c>
      <c r="BI3" s="27" t="s">
        <v>9</v>
      </c>
      <c r="BJ3" s="23">
        <f>SUM(AQ1:AX35)</f>
        <v>2100000</v>
      </c>
      <c r="BL3" s="9">
        <v>2500</v>
      </c>
      <c r="BM3" s="9">
        <v>22000</v>
      </c>
      <c r="BN3" s="9">
        <v>4000</v>
      </c>
      <c r="BO3" s="9">
        <v>2800</v>
      </c>
      <c r="BP3" s="9">
        <v>6500</v>
      </c>
      <c r="BQ3" s="9">
        <v>1600</v>
      </c>
      <c r="BR3" s="9"/>
      <c r="BS3" s="11"/>
      <c r="BT3" s="68">
        <v>13430</v>
      </c>
      <c r="BU3" s="68">
        <v>7000</v>
      </c>
      <c r="BV3" s="10"/>
      <c r="BW3" s="68">
        <v>1000</v>
      </c>
      <c r="BX3" s="68">
        <v>7000</v>
      </c>
      <c r="BY3" s="68">
        <v>1200</v>
      </c>
      <c r="BZ3" s="19"/>
      <c r="CA3" s="20" t="s">
        <v>4</v>
      </c>
      <c r="CB3" s="10">
        <v>305000</v>
      </c>
      <c r="CC3" s="11">
        <v>1</v>
      </c>
      <c r="CD3" s="27" t="s">
        <v>9</v>
      </c>
      <c r="CE3" s="23">
        <f>SUM(BL1:BS35)</f>
        <v>1703800</v>
      </c>
      <c r="CG3" s="9"/>
      <c r="CH3" s="9"/>
      <c r="CI3" s="9"/>
      <c r="CJ3" s="9"/>
      <c r="CK3" s="9"/>
      <c r="CL3" s="9"/>
      <c r="CM3" s="9"/>
      <c r="CN3" s="11"/>
      <c r="CO3" s="10"/>
      <c r="CP3" s="10"/>
      <c r="CQ3" s="10"/>
      <c r="CR3" s="10"/>
      <c r="CS3" s="19"/>
      <c r="CT3" s="20"/>
      <c r="CU3" s="10"/>
      <c r="CV3" s="11">
        <v>1</v>
      </c>
      <c r="CW3" s="27" t="s">
        <v>9</v>
      </c>
      <c r="CX3" s="23">
        <f>SUM(CG1:CN35)</f>
        <v>0</v>
      </c>
      <c r="CZ3" s="39" t="s">
        <v>9</v>
      </c>
      <c r="DA3" s="49"/>
      <c r="DB3" s="50">
        <f>SUM(T3,AO3,BJ3,CE3,CX3)</f>
        <v>7820380</v>
      </c>
      <c r="DC3" s="51"/>
    </row>
    <row r="4" ht="15" customHeight="1" spans="1:107">
      <c r="A4" s="9">
        <v>4500</v>
      </c>
      <c r="B4" s="9">
        <v>7680</v>
      </c>
      <c r="C4" s="9">
        <v>3500</v>
      </c>
      <c r="D4" s="9">
        <v>2000</v>
      </c>
      <c r="E4" s="9">
        <v>1500</v>
      </c>
      <c r="F4" s="9">
        <v>6500</v>
      </c>
      <c r="G4" s="9">
        <v>7000</v>
      </c>
      <c r="H4" s="11"/>
      <c r="I4" s="68">
        <v>28960</v>
      </c>
      <c r="J4" s="68">
        <v>2000</v>
      </c>
      <c r="K4" s="68">
        <v>6240</v>
      </c>
      <c r="L4" s="68">
        <v>5500</v>
      </c>
      <c r="M4" s="68">
        <v>1500</v>
      </c>
      <c r="N4" s="68">
        <v>45000</v>
      </c>
      <c r="O4" s="19"/>
      <c r="P4" s="20" t="s">
        <v>58</v>
      </c>
      <c r="Q4" s="10">
        <v>83000</v>
      </c>
      <c r="R4" s="11"/>
      <c r="S4" s="28"/>
      <c r="T4" s="26"/>
      <c r="U4" s="24"/>
      <c r="V4" s="9">
        <v>5800</v>
      </c>
      <c r="W4" s="9">
        <v>6500</v>
      </c>
      <c r="X4" s="9">
        <v>4000</v>
      </c>
      <c r="Y4" s="9">
        <v>2500</v>
      </c>
      <c r="Z4" s="9">
        <v>49500</v>
      </c>
      <c r="AA4" s="9">
        <v>10000</v>
      </c>
      <c r="AB4" s="9"/>
      <c r="AC4" s="11"/>
      <c r="AD4" s="68">
        <v>7500</v>
      </c>
      <c r="AE4" s="68">
        <v>7500</v>
      </c>
      <c r="AF4" s="10"/>
      <c r="AG4" s="68">
        <v>86800</v>
      </c>
      <c r="AH4" s="68">
        <v>6500</v>
      </c>
      <c r="AI4" s="68">
        <v>1800</v>
      </c>
      <c r="AJ4" s="19"/>
      <c r="AK4" s="20" t="s">
        <v>18</v>
      </c>
      <c r="AL4" s="10">
        <v>549300</v>
      </c>
      <c r="AM4" s="11"/>
      <c r="AN4" s="28"/>
      <c r="AO4" s="26"/>
      <c r="AQ4" s="9">
        <v>5500</v>
      </c>
      <c r="AR4" s="9">
        <v>2500</v>
      </c>
      <c r="AS4" s="9">
        <v>2000</v>
      </c>
      <c r="AT4" s="9">
        <v>1050</v>
      </c>
      <c r="AU4" s="9">
        <v>4000</v>
      </c>
      <c r="AV4" s="9">
        <v>9300</v>
      </c>
      <c r="AW4" s="9">
        <v>6300</v>
      </c>
      <c r="AX4" s="11"/>
      <c r="AY4" s="68">
        <v>15000</v>
      </c>
      <c r="AZ4" s="68">
        <v>8650</v>
      </c>
      <c r="BA4" s="68">
        <v>22860</v>
      </c>
      <c r="BB4" s="68">
        <v>2500</v>
      </c>
      <c r="BC4" s="68">
        <v>10500</v>
      </c>
      <c r="BD4" s="68">
        <v>50000</v>
      </c>
      <c r="BE4" s="19"/>
      <c r="BF4" s="20" t="s">
        <v>19</v>
      </c>
      <c r="BG4" s="10">
        <v>500000</v>
      </c>
      <c r="BH4" s="11"/>
      <c r="BI4" s="28"/>
      <c r="BJ4" s="26"/>
      <c r="BL4" s="9">
        <v>13200</v>
      </c>
      <c r="BM4" s="9">
        <v>3500</v>
      </c>
      <c r="BN4" s="9">
        <v>1000</v>
      </c>
      <c r="BO4" s="9">
        <v>4500</v>
      </c>
      <c r="BP4" s="9">
        <v>4500</v>
      </c>
      <c r="BQ4" s="9">
        <v>20000</v>
      </c>
      <c r="BR4" s="9"/>
      <c r="BS4" s="11"/>
      <c r="BT4" s="68">
        <v>4320</v>
      </c>
      <c r="BU4" s="68">
        <v>14500</v>
      </c>
      <c r="BV4" s="10"/>
      <c r="BW4" s="68">
        <v>600</v>
      </c>
      <c r="BX4" s="68">
        <v>6500</v>
      </c>
      <c r="BY4" s="68">
        <v>8000</v>
      </c>
      <c r="BZ4" s="19"/>
      <c r="CA4" s="20" t="s">
        <v>26</v>
      </c>
      <c r="CB4" s="10">
        <v>65050</v>
      </c>
      <c r="CC4" s="11"/>
      <c r="CD4" s="28"/>
      <c r="CE4" s="26"/>
      <c r="CG4" s="9"/>
      <c r="CH4" s="9"/>
      <c r="CI4" s="9"/>
      <c r="CJ4" s="9"/>
      <c r="CK4" s="9"/>
      <c r="CL4" s="9"/>
      <c r="CM4" s="9"/>
      <c r="CN4" s="11"/>
      <c r="CO4" s="10"/>
      <c r="CP4" s="10"/>
      <c r="CQ4" s="10"/>
      <c r="CR4" s="10"/>
      <c r="CS4" s="19"/>
      <c r="CT4" s="20"/>
      <c r="CU4" s="10"/>
      <c r="CV4" s="11"/>
      <c r="CW4" s="28"/>
      <c r="CX4" s="26"/>
      <c r="CZ4" s="40"/>
      <c r="DA4" s="52"/>
      <c r="DB4" s="53"/>
      <c r="DC4" s="54"/>
    </row>
    <row r="5" ht="15" customHeight="1" spans="1:107">
      <c r="A5" s="9">
        <v>19200</v>
      </c>
      <c r="B5" s="9">
        <v>800</v>
      </c>
      <c r="C5" s="9">
        <v>600</v>
      </c>
      <c r="D5" s="9">
        <v>7000</v>
      </c>
      <c r="E5" s="9">
        <v>12000</v>
      </c>
      <c r="F5" s="9">
        <v>6500</v>
      </c>
      <c r="G5" s="9">
        <v>4200</v>
      </c>
      <c r="H5" s="11"/>
      <c r="I5" s="68">
        <v>12000</v>
      </c>
      <c r="J5" s="68">
        <v>10200</v>
      </c>
      <c r="K5" s="68">
        <v>3400</v>
      </c>
      <c r="L5" s="68">
        <v>4500</v>
      </c>
      <c r="M5" s="68">
        <v>14000</v>
      </c>
      <c r="N5" s="68">
        <v>3000</v>
      </c>
      <c r="O5" s="19"/>
      <c r="P5" s="20" t="s">
        <v>8</v>
      </c>
      <c r="Q5" s="10">
        <v>201710</v>
      </c>
      <c r="R5" s="11"/>
      <c r="S5" s="27" t="s">
        <v>17</v>
      </c>
      <c r="T5" s="23">
        <f>SUM(I2:N35)</f>
        <v>2994990</v>
      </c>
      <c r="U5" s="24"/>
      <c r="V5" s="9">
        <v>4500</v>
      </c>
      <c r="W5" s="9">
        <v>7000</v>
      </c>
      <c r="X5" s="9">
        <v>52000</v>
      </c>
      <c r="Y5" s="9">
        <v>3800</v>
      </c>
      <c r="Z5" s="9">
        <v>3000</v>
      </c>
      <c r="AA5" s="9">
        <v>5000</v>
      </c>
      <c r="AB5" s="9"/>
      <c r="AC5" s="11"/>
      <c r="AD5" s="68">
        <v>14410</v>
      </c>
      <c r="AE5" s="68">
        <v>6000</v>
      </c>
      <c r="AF5" s="10"/>
      <c r="AG5" s="68">
        <v>7000</v>
      </c>
      <c r="AH5" s="68">
        <v>20000</v>
      </c>
      <c r="AI5" s="68">
        <v>6500</v>
      </c>
      <c r="AJ5" s="19"/>
      <c r="AK5" s="20" t="s">
        <v>59</v>
      </c>
      <c r="AL5" s="10">
        <v>100000</v>
      </c>
      <c r="AM5" s="11"/>
      <c r="AN5" s="27" t="s">
        <v>17</v>
      </c>
      <c r="AO5" s="23">
        <f>SUM(AD2:AI35)</f>
        <v>2102490</v>
      </c>
      <c r="AQ5" s="9">
        <v>4500</v>
      </c>
      <c r="AR5" s="9">
        <v>10000</v>
      </c>
      <c r="AS5" s="9">
        <v>5000</v>
      </c>
      <c r="AT5" s="9">
        <v>4600</v>
      </c>
      <c r="AU5" s="9">
        <v>19000</v>
      </c>
      <c r="AV5" s="9">
        <v>5200</v>
      </c>
      <c r="AW5" s="9">
        <v>2500</v>
      </c>
      <c r="AX5" s="11"/>
      <c r="AY5" s="68">
        <v>35000</v>
      </c>
      <c r="AZ5" s="68">
        <v>24020</v>
      </c>
      <c r="BA5" s="68">
        <v>2200</v>
      </c>
      <c r="BB5" s="68">
        <v>14000</v>
      </c>
      <c r="BC5" s="68">
        <v>5500</v>
      </c>
      <c r="BD5" s="68">
        <v>9000</v>
      </c>
      <c r="BE5" s="19"/>
      <c r="BF5" s="20" t="s">
        <v>60</v>
      </c>
      <c r="BG5" s="10">
        <v>217540</v>
      </c>
      <c r="BH5" s="11"/>
      <c r="BI5" s="27" t="s">
        <v>17</v>
      </c>
      <c r="BJ5" s="23">
        <f>SUM(AY2:BD35)</f>
        <v>1791030</v>
      </c>
      <c r="BL5" s="9">
        <v>1000</v>
      </c>
      <c r="BM5" s="9">
        <v>4000</v>
      </c>
      <c r="BN5" s="9">
        <v>1800</v>
      </c>
      <c r="BO5" s="9">
        <v>1500</v>
      </c>
      <c r="BP5" s="9">
        <v>4500</v>
      </c>
      <c r="BQ5" s="9">
        <v>5000</v>
      </c>
      <c r="BR5" s="9"/>
      <c r="BS5" s="11"/>
      <c r="BT5" s="68">
        <v>4320</v>
      </c>
      <c r="BU5" s="68">
        <v>14410</v>
      </c>
      <c r="BV5" s="10"/>
      <c r="BW5" s="68">
        <v>39500</v>
      </c>
      <c r="BX5" s="68">
        <v>2880</v>
      </c>
      <c r="BY5" s="68">
        <v>7000</v>
      </c>
      <c r="BZ5" s="19"/>
      <c r="CA5" s="20" t="s">
        <v>5</v>
      </c>
      <c r="CB5" s="10">
        <v>260000</v>
      </c>
      <c r="CC5" s="11"/>
      <c r="CD5" s="27" t="s">
        <v>17</v>
      </c>
      <c r="CE5" s="23">
        <f>SUM(BT2:BY35)</f>
        <v>1744090</v>
      </c>
      <c r="CG5" s="9"/>
      <c r="CH5" s="9"/>
      <c r="CI5" s="9"/>
      <c r="CJ5" s="9"/>
      <c r="CK5" s="9"/>
      <c r="CL5" s="9"/>
      <c r="CM5" s="9"/>
      <c r="CN5" s="11"/>
      <c r="CO5" s="10"/>
      <c r="CP5" s="10"/>
      <c r="CQ5" s="10"/>
      <c r="CR5" s="10"/>
      <c r="CS5" s="19"/>
      <c r="CT5" s="20"/>
      <c r="CU5" s="10"/>
      <c r="CV5" s="11"/>
      <c r="CW5" s="27" t="s">
        <v>17</v>
      </c>
      <c r="CX5" s="23">
        <f>SUM(CO2:CR35)</f>
        <v>0</v>
      </c>
      <c r="CZ5" s="39" t="s">
        <v>17</v>
      </c>
      <c r="DA5" s="49"/>
      <c r="DB5" s="50">
        <f>SUM(T5,AO5,BJ5,CE5,CX5)</f>
        <v>8632600</v>
      </c>
      <c r="DC5" s="51"/>
    </row>
    <row r="6" ht="15" customHeight="1" spans="1:107">
      <c r="A6" s="9">
        <v>15400</v>
      </c>
      <c r="B6" s="9">
        <v>600</v>
      </c>
      <c r="C6" s="9">
        <v>38000</v>
      </c>
      <c r="D6" s="9">
        <v>1400</v>
      </c>
      <c r="E6" s="9">
        <v>2000</v>
      </c>
      <c r="F6" s="9">
        <v>4000</v>
      </c>
      <c r="G6" s="9">
        <v>6500</v>
      </c>
      <c r="H6" s="11"/>
      <c r="I6" s="68">
        <v>1480</v>
      </c>
      <c r="J6" s="68">
        <v>1530</v>
      </c>
      <c r="K6" s="68">
        <v>6250</v>
      </c>
      <c r="L6" s="68">
        <v>4500</v>
      </c>
      <c r="M6" s="68">
        <v>2500</v>
      </c>
      <c r="N6" s="68">
        <v>14000</v>
      </c>
      <c r="O6" s="19"/>
      <c r="P6" s="20" t="s">
        <v>61</v>
      </c>
      <c r="Q6" s="10">
        <v>92000</v>
      </c>
      <c r="R6" s="11"/>
      <c r="S6" s="28"/>
      <c r="T6" s="26"/>
      <c r="U6" s="24"/>
      <c r="V6" s="9">
        <v>26000</v>
      </c>
      <c r="W6" s="9">
        <v>300</v>
      </c>
      <c r="X6" s="9">
        <v>1600</v>
      </c>
      <c r="Y6" s="9">
        <v>5000</v>
      </c>
      <c r="Z6" s="9">
        <v>4500</v>
      </c>
      <c r="AA6" s="9">
        <v>8200</v>
      </c>
      <c r="AB6" s="9"/>
      <c r="AC6" s="11"/>
      <c r="AD6" s="68">
        <v>14000</v>
      </c>
      <c r="AE6" s="68">
        <v>3500</v>
      </c>
      <c r="AF6" s="10"/>
      <c r="AG6" s="68">
        <v>24000</v>
      </c>
      <c r="AH6" s="68">
        <v>600</v>
      </c>
      <c r="AI6" s="68">
        <v>19900</v>
      </c>
      <c r="AJ6" s="19"/>
      <c r="AK6" s="20" t="s">
        <v>62</v>
      </c>
      <c r="AL6" s="10">
        <v>28000</v>
      </c>
      <c r="AM6" s="11"/>
      <c r="AN6" s="28"/>
      <c r="AO6" s="26"/>
      <c r="AQ6" s="9">
        <v>1500</v>
      </c>
      <c r="AR6" s="9">
        <v>2000</v>
      </c>
      <c r="AS6" s="9">
        <v>2000</v>
      </c>
      <c r="AT6" s="9">
        <v>20000</v>
      </c>
      <c r="AU6" s="9">
        <v>3000</v>
      </c>
      <c r="AV6" s="9">
        <v>1000</v>
      </c>
      <c r="AW6" s="9">
        <v>6500</v>
      </c>
      <c r="AX6" s="11"/>
      <c r="AY6" s="68">
        <v>8000</v>
      </c>
      <c r="AZ6" s="68">
        <v>2000</v>
      </c>
      <c r="BA6" s="68">
        <v>5910</v>
      </c>
      <c r="BB6" s="68">
        <v>4600</v>
      </c>
      <c r="BC6" s="68">
        <v>19900</v>
      </c>
      <c r="BD6" s="68">
        <v>3500</v>
      </c>
      <c r="BE6" s="19"/>
      <c r="BF6" s="20" t="s">
        <v>63</v>
      </c>
      <c r="BG6" s="10">
        <v>52880</v>
      </c>
      <c r="BH6" s="11"/>
      <c r="BI6" s="28"/>
      <c r="BJ6" s="26"/>
      <c r="BL6" s="9">
        <v>4000</v>
      </c>
      <c r="BM6" s="9">
        <v>1600</v>
      </c>
      <c r="BN6" s="9">
        <v>5000</v>
      </c>
      <c r="BO6" s="9">
        <v>4500</v>
      </c>
      <c r="BP6" s="9">
        <v>1200</v>
      </c>
      <c r="BQ6" s="9">
        <v>5000</v>
      </c>
      <c r="BR6" s="9"/>
      <c r="BS6" s="11"/>
      <c r="BT6" s="68">
        <v>33630</v>
      </c>
      <c r="BU6" s="10"/>
      <c r="BV6" s="10"/>
      <c r="BW6" s="68">
        <v>4200</v>
      </c>
      <c r="BX6" s="68">
        <v>9500</v>
      </c>
      <c r="BY6" s="68">
        <v>6000</v>
      </c>
      <c r="BZ6" s="19"/>
      <c r="CA6" s="20" t="s">
        <v>18</v>
      </c>
      <c r="CB6" s="10">
        <v>702500</v>
      </c>
      <c r="CC6" s="11"/>
      <c r="CD6" s="28"/>
      <c r="CE6" s="26"/>
      <c r="CG6" s="9"/>
      <c r="CH6" s="9"/>
      <c r="CI6" s="9"/>
      <c r="CJ6" s="9"/>
      <c r="CK6" s="9"/>
      <c r="CL6" s="9"/>
      <c r="CM6" s="9"/>
      <c r="CN6" s="11"/>
      <c r="CO6" s="10"/>
      <c r="CP6" s="10"/>
      <c r="CQ6" s="10"/>
      <c r="CR6" s="10"/>
      <c r="CS6" s="19"/>
      <c r="CT6" s="20"/>
      <c r="CU6" s="10"/>
      <c r="CV6" s="11"/>
      <c r="CW6" s="28"/>
      <c r="CX6" s="26"/>
      <c r="CZ6" s="40"/>
      <c r="DA6" s="52"/>
      <c r="DB6" s="53"/>
      <c r="DC6" s="54"/>
    </row>
    <row r="7" ht="15" customHeight="1" spans="1:107">
      <c r="A7" s="9">
        <v>200</v>
      </c>
      <c r="B7" s="9">
        <v>12500</v>
      </c>
      <c r="C7" s="9">
        <v>6000</v>
      </c>
      <c r="D7" s="9">
        <v>1500</v>
      </c>
      <c r="E7" s="9">
        <v>7000</v>
      </c>
      <c r="F7" s="9">
        <v>12000</v>
      </c>
      <c r="G7" s="9">
        <v>9000</v>
      </c>
      <c r="H7" s="11"/>
      <c r="I7" s="68">
        <v>3360</v>
      </c>
      <c r="J7" s="68">
        <v>33600</v>
      </c>
      <c r="K7" s="68">
        <v>5500</v>
      </c>
      <c r="L7" s="68">
        <v>5000</v>
      </c>
      <c r="M7" s="68">
        <v>14000</v>
      </c>
      <c r="N7" s="68">
        <v>15000</v>
      </c>
      <c r="O7" s="19"/>
      <c r="P7" s="20" t="s">
        <v>41</v>
      </c>
      <c r="Q7" s="10">
        <v>343600</v>
      </c>
      <c r="R7" s="11"/>
      <c r="S7" s="27" t="s">
        <v>1</v>
      </c>
      <c r="T7" s="23">
        <f>SUM(Q2:Q35)</f>
        <v>2705510</v>
      </c>
      <c r="U7" s="24"/>
      <c r="V7" s="9">
        <v>30000</v>
      </c>
      <c r="W7" s="9">
        <v>500</v>
      </c>
      <c r="X7" s="9">
        <v>5000</v>
      </c>
      <c r="Y7" s="9">
        <v>3200</v>
      </c>
      <c r="Z7" s="9">
        <v>26600</v>
      </c>
      <c r="AA7" s="9"/>
      <c r="AB7" s="9"/>
      <c r="AC7" s="11"/>
      <c r="AD7" s="68">
        <v>2000</v>
      </c>
      <c r="AE7" s="68">
        <v>27380</v>
      </c>
      <c r="AF7" s="10"/>
      <c r="AG7" s="68">
        <v>180000</v>
      </c>
      <c r="AH7" s="68">
        <v>3000</v>
      </c>
      <c r="AI7" s="68">
        <v>500</v>
      </c>
      <c r="AJ7" s="19"/>
      <c r="AK7" s="20" t="s">
        <v>27</v>
      </c>
      <c r="AL7" s="10">
        <v>218000</v>
      </c>
      <c r="AM7" s="11"/>
      <c r="AN7" s="27" t="s">
        <v>1</v>
      </c>
      <c r="AO7" s="23">
        <f>SUM(AL2:AL35)</f>
        <v>3941430</v>
      </c>
      <c r="AQ7" s="9">
        <v>4000</v>
      </c>
      <c r="AR7" s="9">
        <v>2500</v>
      </c>
      <c r="AS7" s="9">
        <v>98500</v>
      </c>
      <c r="AT7" s="9">
        <v>18000</v>
      </c>
      <c r="AU7" s="9">
        <v>5000</v>
      </c>
      <c r="AV7" s="9">
        <v>1800</v>
      </c>
      <c r="AW7" s="9">
        <v>2000</v>
      </c>
      <c r="AX7" s="11"/>
      <c r="AY7" s="68">
        <v>9500</v>
      </c>
      <c r="AZ7" s="68">
        <v>10000</v>
      </c>
      <c r="BA7" s="68">
        <v>18600</v>
      </c>
      <c r="BB7" s="68">
        <v>4000</v>
      </c>
      <c r="BC7" s="68">
        <v>2500</v>
      </c>
      <c r="BD7" s="68">
        <v>37000</v>
      </c>
      <c r="BE7" s="19"/>
      <c r="BF7" s="20" t="s">
        <v>31</v>
      </c>
      <c r="BG7" s="10">
        <v>18000</v>
      </c>
      <c r="BH7" s="11"/>
      <c r="BI7" s="27" t="s">
        <v>1</v>
      </c>
      <c r="BJ7" s="23">
        <f>SUM(BG2:BG35)</f>
        <v>6061410</v>
      </c>
      <c r="BL7" s="9">
        <v>1500</v>
      </c>
      <c r="BM7" s="9">
        <v>1500</v>
      </c>
      <c r="BN7" s="9">
        <v>8000</v>
      </c>
      <c r="BO7" s="9">
        <v>12000</v>
      </c>
      <c r="BP7" s="9">
        <v>33900</v>
      </c>
      <c r="BQ7" s="9">
        <v>13500</v>
      </c>
      <c r="BR7" s="9"/>
      <c r="BS7" s="11"/>
      <c r="BT7" s="68">
        <v>480</v>
      </c>
      <c r="BU7" s="10"/>
      <c r="BV7" s="10"/>
      <c r="BW7" s="68">
        <v>7000</v>
      </c>
      <c r="BX7" s="68">
        <v>3000</v>
      </c>
      <c r="BY7" s="68">
        <v>10000</v>
      </c>
      <c r="BZ7" s="19"/>
      <c r="CA7" s="20" t="s">
        <v>64</v>
      </c>
      <c r="CB7" s="10">
        <v>23500</v>
      </c>
      <c r="CC7" s="11"/>
      <c r="CD7" s="27" t="s">
        <v>1</v>
      </c>
      <c r="CE7" s="23">
        <f>SUM(CB2:CB35)</f>
        <v>2643100</v>
      </c>
      <c r="CG7" s="9"/>
      <c r="CH7" s="9"/>
      <c r="CI7" s="9"/>
      <c r="CJ7" s="9"/>
      <c r="CK7" s="9"/>
      <c r="CL7" s="9"/>
      <c r="CM7" s="9"/>
      <c r="CN7" s="11"/>
      <c r="CO7" s="10"/>
      <c r="CP7" s="10"/>
      <c r="CQ7" s="10"/>
      <c r="CR7" s="10"/>
      <c r="CS7" s="19"/>
      <c r="CT7" s="20"/>
      <c r="CU7" s="10"/>
      <c r="CV7" s="11"/>
      <c r="CW7" s="27" t="s">
        <v>1</v>
      </c>
      <c r="CX7" s="23">
        <f>SUM(CU2:CU35)</f>
        <v>0</v>
      </c>
      <c r="CZ7" s="39" t="s">
        <v>1</v>
      </c>
      <c r="DA7" s="49"/>
      <c r="DB7" s="50">
        <f>SUM(T7,AO7,BJ7,CE7,CX7)</f>
        <v>15351450</v>
      </c>
      <c r="DC7" s="51"/>
    </row>
    <row r="8" ht="15" customHeight="1" spans="1:107">
      <c r="A8" s="9">
        <v>12500</v>
      </c>
      <c r="B8" s="9">
        <v>11000</v>
      </c>
      <c r="C8" s="9">
        <v>6000</v>
      </c>
      <c r="D8" s="9">
        <v>2500</v>
      </c>
      <c r="E8" s="9">
        <v>450</v>
      </c>
      <c r="F8" s="9">
        <v>10800</v>
      </c>
      <c r="G8" s="9">
        <v>8000</v>
      </c>
      <c r="H8" s="11"/>
      <c r="I8" s="68">
        <v>17500</v>
      </c>
      <c r="J8" s="68">
        <v>9500</v>
      </c>
      <c r="K8" s="68">
        <v>26800</v>
      </c>
      <c r="L8" s="68">
        <v>3800</v>
      </c>
      <c r="M8" s="68">
        <v>12000</v>
      </c>
      <c r="N8" s="68">
        <v>3200</v>
      </c>
      <c r="O8" s="19"/>
      <c r="P8" s="20" t="s">
        <v>47</v>
      </c>
      <c r="Q8" s="10">
        <v>20000</v>
      </c>
      <c r="R8" s="11"/>
      <c r="S8" s="28"/>
      <c r="T8" s="26"/>
      <c r="U8" s="24"/>
      <c r="V8" s="9">
        <v>3500</v>
      </c>
      <c r="W8" s="9">
        <v>4500</v>
      </c>
      <c r="X8" s="9">
        <v>6500</v>
      </c>
      <c r="Y8" s="9">
        <v>6500</v>
      </c>
      <c r="Z8" s="9">
        <v>36600</v>
      </c>
      <c r="AA8" s="9"/>
      <c r="AB8" s="9"/>
      <c r="AC8" s="11"/>
      <c r="AD8" s="68">
        <v>38500</v>
      </c>
      <c r="AE8" s="68">
        <v>3840</v>
      </c>
      <c r="AF8" s="10"/>
      <c r="AG8" s="68">
        <v>9000</v>
      </c>
      <c r="AH8" s="68">
        <v>11000</v>
      </c>
      <c r="AI8" s="68">
        <v>46500</v>
      </c>
      <c r="AJ8" s="19"/>
      <c r="AK8" s="20" t="s">
        <v>12</v>
      </c>
      <c r="AL8" s="10">
        <v>360000</v>
      </c>
      <c r="AM8" s="11"/>
      <c r="AN8" s="28"/>
      <c r="AO8" s="26"/>
      <c r="AQ8" s="9">
        <v>3000</v>
      </c>
      <c r="AR8" s="9">
        <v>2000</v>
      </c>
      <c r="AS8" s="9">
        <v>800</v>
      </c>
      <c r="AT8" s="9">
        <v>8000</v>
      </c>
      <c r="AU8" s="9">
        <v>10000</v>
      </c>
      <c r="AV8" s="9">
        <v>90000</v>
      </c>
      <c r="AW8" s="9">
        <v>1500</v>
      </c>
      <c r="AX8" s="11"/>
      <c r="AY8" s="68">
        <v>10000</v>
      </c>
      <c r="AZ8" s="68">
        <v>20000</v>
      </c>
      <c r="BA8" s="68">
        <v>2500</v>
      </c>
      <c r="BB8" s="68">
        <v>25000</v>
      </c>
      <c r="BC8" s="68">
        <v>6500</v>
      </c>
      <c r="BD8" s="68">
        <v>2000</v>
      </c>
      <c r="BE8" s="19"/>
      <c r="BF8" s="20" t="s">
        <v>65</v>
      </c>
      <c r="BG8" s="10">
        <v>42200</v>
      </c>
      <c r="BH8" s="11"/>
      <c r="BI8" s="28"/>
      <c r="BJ8" s="26"/>
      <c r="BL8" s="9">
        <v>5500</v>
      </c>
      <c r="BM8" s="9">
        <v>3500</v>
      </c>
      <c r="BN8" s="9">
        <v>23000</v>
      </c>
      <c r="BO8" s="9">
        <v>3500</v>
      </c>
      <c r="BP8" s="9">
        <v>2000</v>
      </c>
      <c r="BQ8" s="9">
        <v>5200</v>
      </c>
      <c r="BR8" s="9"/>
      <c r="BS8" s="11"/>
      <c r="BT8" s="68">
        <v>5540</v>
      </c>
      <c r="BU8" s="10"/>
      <c r="BV8" s="10"/>
      <c r="BW8" s="68">
        <v>9500</v>
      </c>
      <c r="BX8" s="68">
        <v>1500</v>
      </c>
      <c r="BY8" s="68">
        <v>3700</v>
      </c>
      <c r="BZ8" s="19"/>
      <c r="CA8" s="20" t="s">
        <v>37</v>
      </c>
      <c r="CB8" s="10">
        <v>408900</v>
      </c>
      <c r="CC8" s="11"/>
      <c r="CD8" s="28"/>
      <c r="CE8" s="26"/>
      <c r="CG8" s="9"/>
      <c r="CH8" s="9"/>
      <c r="CI8" s="9"/>
      <c r="CJ8" s="9"/>
      <c r="CK8" s="9"/>
      <c r="CL8" s="9"/>
      <c r="CM8" s="9"/>
      <c r="CN8" s="11"/>
      <c r="CO8" s="10"/>
      <c r="CP8" s="10"/>
      <c r="CQ8" s="10"/>
      <c r="CR8" s="10"/>
      <c r="CS8" s="19"/>
      <c r="CT8" s="20"/>
      <c r="CU8" s="10"/>
      <c r="CV8" s="11"/>
      <c r="CW8" s="28"/>
      <c r="CX8" s="26"/>
      <c r="CZ8" s="40"/>
      <c r="DA8" s="52"/>
      <c r="DB8" s="53"/>
      <c r="DC8" s="54"/>
    </row>
    <row r="9" ht="15" customHeight="1" spans="1:107">
      <c r="A9" s="9">
        <v>2000</v>
      </c>
      <c r="B9" s="9">
        <v>21200</v>
      </c>
      <c r="C9" s="9">
        <v>3200</v>
      </c>
      <c r="D9" s="9">
        <v>3900</v>
      </c>
      <c r="E9" s="9">
        <v>5300</v>
      </c>
      <c r="F9" s="9">
        <v>1500</v>
      </c>
      <c r="G9" s="9">
        <v>2500</v>
      </c>
      <c r="H9" s="11"/>
      <c r="I9" s="68">
        <v>2000</v>
      </c>
      <c r="J9" s="68">
        <v>40100</v>
      </c>
      <c r="K9" s="68">
        <v>4800</v>
      </c>
      <c r="L9" s="68">
        <v>32100</v>
      </c>
      <c r="M9" s="68">
        <v>13500</v>
      </c>
      <c r="N9" s="68">
        <v>6800</v>
      </c>
      <c r="O9" s="19"/>
      <c r="P9" s="20" t="s">
        <v>5</v>
      </c>
      <c r="Q9" s="10">
        <v>231000</v>
      </c>
      <c r="R9" s="11"/>
      <c r="S9" s="29" t="s">
        <v>33</v>
      </c>
      <c r="T9" s="30">
        <f>T3+T5</f>
        <v>5207870</v>
      </c>
      <c r="U9" s="24"/>
      <c r="V9" s="9">
        <v>5000</v>
      </c>
      <c r="W9" s="9">
        <v>11500</v>
      </c>
      <c r="X9" s="9">
        <v>6000</v>
      </c>
      <c r="Y9" s="9">
        <v>6000</v>
      </c>
      <c r="Z9" s="9">
        <v>11500</v>
      </c>
      <c r="AA9" s="9"/>
      <c r="AB9" s="9"/>
      <c r="AC9" s="11"/>
      <c r="AD9" s="68">
        <v>100</v>
      </c>
      <c r="AE9" s="68">
        <v>122060</v>
      </c>
      <c r="AF9" s="10"/>
      <c r="AG9" s="68">
        <v>4000</v>
      </c>
      <c r="AH9" s="68">
        <v>1000</v>
      </c>
      <c r="AI9" s="68">
        <v>6500</v>
      </c>
      <c r="AJ9" s="19"/>
      <c r="AK9" s="20" t="s">
        <v>44</v>
      </c>
      <c r="AL9" s="10">
        <v>112500</v>
      </c>
      <c r="AM9" s="11"/>
      <c r="AN9" s="29" t="s">
        <v>33</v>
      </c>
      <c r="AO9" s="30">
        <f>AO3+AO5</f>
        <v>3906190</v>
      </c>
      <c r="AQ9" s="9">
        <v>5500</v>
      </c>
      <c r="AR9" s="9">
        <v>800</v>
      </c>
      <c r="AS9" s="9">
        <v>11500</v>
      </c>
      <c r="AT9" s="9">
        <v>1000</v>
      </c>
      <c r="AU9" s="9">
        <v>30000</v>
      </c>
      <c r="AV9" s="9">
        <v>35000</v>
      </c>
      <c r="AW9" s="9">
        <v>10500</v>
      </c>
      <c r="AX9" s="11"/>
      <c r="AY9" s="68">
        <v>6000</v>
      </c>
      <c r="AZ9" s="68">
        <v>3050</v>
      </c>
      <c r="BA9" s="68">
        <v>40800</v>
      </c>
      <c r="BB9" s="68">
        <v>3500</v>
      </c>
      <c r="BC9" s="68">
        <v>13000</v>
      </c>
      <c r="BD9" s="68">
        <v>22000</v>
      </c>
      <c r="BE9" s="19"/>
      <c r="BF9" s="20" t="s">
        <v>18</v>
      </c>
      <c r="BG9" s="10">
        <v>796000</v>
      </c>
      <c r="BH9" s="11"/>
      <c r="BI9" s="29" t="s">
        <v>33</v>
      </c>
      <c r="BJ9" s="30">
        <f>BJ3+BJ5</f>
        <v>3891030</v>
      </c>
      <c r="BL9" s="9">
        <v>3000</v>
      </c>
      <c r="BM9" s="9">
        <v>1800</v>
      </c>
      <c r="BN9" s="9">
        <v>2000</v>
      </c>
      <c r="BO9" s="9">
        <v>10000</v>
      </c>
      <c r="BP9" s="9">
        <v>1000</v>
      </c>
      <c r="BQ9" s="9">
        <v>9000</v>
      </c>
      <c r="BR9" s="9"/>
      <c r="BS9" s="11"/>
      <c r="BT9" s="68">
        <v>5100</v>
      </c>
      <c r="BU9" s="10"/>
      <c r="BV9" s="10"/>
      <c r="BW9" s="68">
        <v>35000</v>
      </c>
      <c r="BX9" s="68">
        <v>21000</v>
      </c>
      <c r="BY9" s="68">
        <v>3000</v>
      </c>
      <c r="BZ9" s="19"/>
      <c r="CA9" s="20" t="s">
        <v>66</v>
      </c>
      <c r="CB9" s="10">
        <v>60000</v>
      </c>
      <c r="CC9" s="11"/>
      <c r="CD9" s="29" t="s">
        <v>33</v>
      </c>
      <c r="CE9" s="30">
        <f>CE3+CE5</f>
        <v>3447890</v>
      </c>
      <c r="CG9" s="9"/>
      <c r="CH9" s="9"/>
      <c r="CI9" s="9"/>
      <c r="CJ9" s="9"/>
      <c r="CK9" s="9"/>
      <c r="CL9" s="9"/>
      <c r="CM9" s="9"/>
      <c r="CN9" s="11"/>
      <c r="CO9" s="10"/>
      <c r="CP9" s="10"/>
      <c r="CQ9" s="10"/>
      <c r="CR9" s="10"/>
      <c r="CS9" s="19"/>
      <c r="CT9" s="20"/>
      <c r="CU9" s="10"/>
      <c r="CV9" s="11"/>
      <c r="CW9" s="29" t="s">
        <v>33</v>
      </c>
      <c r="CX9" s="30">
        <f>CX3+CX5</f>
        <v>0</v>
      </c>
      <c r="CZ9" s="41" t="s">
        <v>33</v>
      </c>
      <c r="DA9" s="55"/>
      <c r="DB9" s="56">
        <f>DB3+DB5</f>
        <v>16452980</v>
      </c>
      <c r="DC9" s="57"/>
    </row>
    <row r="10" ht="15" customHeight="1" spans="1:107">
      <c r="A10" s="9">
        <v>1700</v>
      </c>
      <c r="B10" s="9">
        <v>3100</v>
      </c>
      <c r="C10" s="9">
        <v>35000</v>
      </c>
      <c r="D10" s="9">
        <v>4000</v>
      </c>
      <c r="E10" s="9">
        <v>29000</v>
      </c>
      <c r="F10" s="9">
        <v>5000</v>
      </c>
      <c r="G10" s="9">
        <v>3500</v>
      </c>
      <c r="H10" s="11"/>
      <c r="I10" s="68">
        <v>10090</v>
      </c>
      <c r="J10" s="68">
        <v>13000</v>
      </c>
      <c r="K10" s="68">
        <v>4040</v>
      </c>
      <c r="L10" s="68">
        <v>54500</v>
      </c>
      <c r="M10" s="68">
        <v>2000</v>
      </c>
      <c r="N10" s="68">
        <v>2000</v>
      </c>
      <c r="O10" s="19"/>
      <c r="P10" s="20" t="s">
        <v>59</v>
      </c>
      <c r="Q10" s="10">
        <v>150000</v>
      </c>
      <c r="R10" s="11"/>
      <c r="S10" s="29" t="s">
        <v>36</v>
      </c>
      <c r="T10" s="30">
        <f>T1+T3+T5-T7+T15+T16</f>
        <v>4015130</v>
      </c>
      <c r="U10" s="24"/>
      <c r="V10" s="9">
        <v>1300</v>
      </c>
      <c r="W10" s="9">
        <v>5000</v>
      </c>
      <c r="X10" s="9">
        <v>3500</v>
      </c>
      <c r="Y10" s="9">
        <v>5000</v>
      </c>
      <c r="Z10" s="9">
        <v>2600</v>
      </c>
      <c r="AA10" s="9"/>
      <c r="AB10" s="9"/>
      <c r="AC10" s="11"/>
      <c r="AD10" s="68">
        <v>5000</v>
      </c>
      <c r="AE10" s="68">
        <v>14550</v>
      </c>
      <c r="AF10" s="10"/>
      <c r="AG10" s="68">
        <v>10000</v>
      </c>
      <c r="AH10" s="68">
        <v>5500</v>
      </c>
      <c r="AI10" s="68">
        <v>1600</v>
      </c>
      <c r="AJ10" s="19"/>
      <c r="AK10" s="20" t="s">
        <v>28</v>
      </c>
      <c r="AL10" s="10">
        <v>766600</v>
      </c>
      <c r="AM10" s="11"/>
      <c r="AN10" s="29" t="s">
        <v>36</v>
      </c>
      <c r="AO10" s="30">
        <f>AO1+AO3+AO5-AO7+AO15+AO16</f>
        <v>2278910</v>
      </c>
      <c r="AQ10" s="9">
        <v>300</v>
      </c>
      <c r="AR10" s="9">
        <v>3000</v>
      </c>
      <c r="AS10" s="9">
        <v>1700</v>
      </c>
      <c r="AT10" s="9">
        <v>13500</v>
      </c>
      <c r="AU10" s="9">
        <v>1500</v>
      </c>
      <c r="AV10" s="9">
        <v>21500</v>
      </c>
      <c r="AW10" s="9">
        <v>8500</v>
      </c>
      <c r="AX10" s="11"/>
      <c r="AY10" s="68">
        <v>9000</v>
      </c>
      <c r="AZ10" s="68">
        <v>4320</v>
      </c>
      <c r="BA10" s="68">
        <v>200</v>
      </c>
      <c r="BB10" s="68">
        <v>3000</v>
      </c>
      <c r="BC10" s="68">
        <v>12000</v>
      </c>
      <c r="BD10" s="68">
        <v>2000</v>
      </c>
      <c r="BE10" s="19"/>
      <c r="BF10" s="20" t="s">
        <v>67</v>
      </c>
      <c r="BG10" s="10">
        <v>93830</v>
      </c>
      <c r="BH10" s="11"/>
      <c r="BI10" s="29" t="s">
        <v>36</v>
      </c>
      <c r="BJ10" s="30">
        <f>BJ1+BJ3+BJ5-BJ7+BJ15+BJ16</f>
        <v>-1685450</v>
      </c>
      <c r="BL10" s="9">
        <v>5000</v>
      </c>
      <c r="BM10" s="9">
        <v>30650</v>
      </c>
      <c r="BN10" s="9">
        <v>300</v>
      </c>
      <c r="BO10" s="9">
        <v>2000</v>
      </c>
      <c r="BP10" s="9">
        <v>8500</v>
      </c>
      <c r="BQ10" s="9">
        <v>3000</v>
      </c>
      <c r="BR10" s="9"/>
      <c r="BS10" s="11"/>
      <c r="BT10" s="68">
        <v>3360</v>
      </c>
      <c r="BU10" s="10"/>
      <c r="BV10" s="10"/>
      <c r="BW10" s="68">
        <v>4000</v>
      </c>
      <c r="BX10" s="68">
        <v>30000</v>
      </c>
      <c r="BY10" s="68">
        <v>11000</v>
      </c>
      <c r="BZ10" s="19"/>
      <c r="CA10" s="20" t="s">
        <v>68</v>
      </c>
      <c r="CB10" s="10">
        <v>18000</v>
      </c>
      <c r="CC10" s="11"/>
      <c r="CD10" s="29" t="s">
        <v>36</v>
      </c>
      <c r="CE10" s="30">
        <f>CE1+CE3+CE5-CE7+CE15+CE16</f>
        <v>1014530</v>
      </c>
      <c r="CG10" s="9"/>
      <c r="CH10" s="9"/>
      <c r="CI10" s="9"/>
      <c r="CJ10" s="9"/>
      <c r="CK10" s="9"/>
      <c r="CL10" s="9"/>
      <c r="CM10" s="9"/>
      <c r="CN10" s="11"/>
      <c r="CO10" s="10"/>
      <c r="CP10" s="10"/>
      <c r="CQ10" s="10"/>
      <c r="CR10" s="10"/>
      <c r="CS10" s="19"/>
      <c r="CT10" s="20"/>
      <c r="CU10" s="10"/>
      <c r="CV10" s="11"/>
      <c r="CW10" s="29" t="s">
        <v>36</v>
      </c>
      <c r="CX10" s="30">
        <f>CX1+CX3+CX5-CX7+CX15+CX16</f>
        <v>276180</v>
      </c>
      <c r="CZ10" s="42"/>
      <c r="DA10" s="58"/>
      <c r="DB10" s="59"/>
      <c r="DC10" s="60"/>
    </row>
    <row r="11" ht="15" customHeight="1" spans="1:107">
      <c r="A11" s="9">
        <v>2000</v>
      </c>
      <c r="B11" s="9">
        <v>4500</v>
      </c>
      <c r="C11" s="9">
        <v>6000</v>
      </c>
      <c r="D11" s="9">
        <v>1500</v>
      </c>
      <c r="E11" s="9">
        <v>4000</v>
      </c>
      <c r="F11" s="9">
        <v>2000</v>
      </c>
      <c r="G11" s="9">
        <v>4500</v>
      </c>
      <c r="H11" s="11"/>
      <c r="I11" s="68">
        <v>14650</v>
      </c>
      <c r="J11" s="68">
        <v>8070</v>
      </c>
      <c r="K11" s="68">
        <v>1540</v>
      </c>
      <c r="L11" s="68">
        <v>32100</v>
      </c>
      <c r="M11" s="68">
        <v>5500</v>
      </c>
      <c r="N11" s="68">
        <v>13000</v>
      </c>
      <c r="O11" s="19"/>
      <c r="P11" s="20"/>
      <c r="Q11" s="10"/>
      <c r="R11" s="11"/>
      <c r="S11" s="29" t="s">
        <v>40</v>
      </c>
      <c r="T11" s="30">
        <f>T9/7</f>
        <v>743981.428571429</v>
      </c>
      <c r="U11" s="24"/>
      <c r="V11" s="9">
        <v>1500</v>
      </c>
      <c r="W11" s="9">
        <v>3000</v>
      </c>
      <c r="X11" s="9">
        <v>8600</v>
      </c>
      <c r="Y11" s="9">
        <v>4500</v>
      </c>
      <c r="Z11" s="9">
        <v>6500</v>
      </c>
      <c r="AA11" s="9"/>
      <c r="AB11" s="9"/>
      <c r="AC11" s="11"/>
      <c r="AD11" s="68">
        <v>5280</v>
      </c>
      <c r="AE11" s="68">
        <v>2600</v>
      </c>
      <c r="AF11" s="10"/>
      <c r="AG11" s="68">
        <v>8000</v>
      </c>
      <c r="AH11" s="68">
        <v>10300</v>
      </c>
      <c r="AI11" s="68">
        <v>6300</v>
      </c>
      <c r="AJ11" s="19"/>
      <c r="AK11" s="20" t="s">
        <v>69</v>
      </c>
      <c r="AL11" s="10">
        <v>68000</v>
      </c>
      <c r="AM11" s="11"/>
      <c r="AN11" s="29" t="s">
        <v>40</v>
      </c>
      <c r="AO11" s="30">
        <f>AO9/7</f>
        <v>558027.142857143</v>
      </c>
      <c r="AQ11" s="9">
        <v>50000</v>
      </c>
      <c r="AR11" s="9">
        <v>1500</v>
      </c>
      <c r="AS11" s="9">
        <v>2000</v>
      </c>
      <c r="AT11" s="9">
        <v>11500</v>
      </c>
      <c r="AU11" s="9">
        <v>400</v>
      </c>
      <c r="AV11" s="9">
        <v>3300</v>
      </c>
      <c r="AW11" s="9">
        <v>15000</v>
      </c>
      <c r="AX11" s="11"/>
      <c r="AY11" s="68">
        <v>1010</v>
      </c>
      <c r="AZ11" s="68">
        <v>4800</v>
      </c>
      <c r="BA11" s="68">
        <v>9840</v>
      </c>
      <c r="BB11" s="68">
        <v>4400</v>
      </c>
      <c r="BC11" s="68">
        <v>5000</v>
      </c>
      <c r="BD11" s="10"/>
      <c r="BE11" s="19"/>
      <c r="BF11" s="20" t="s">
        <v>70</v>
      </c>
      <c r="BG11" s="10">
        <v>96320</v>
      </c>
      <c r="BH11" s="11"/>
      <c r="BI11" s="29" t="s">
        <v>40</v>
      </c>
      <c r="BJ11" s="30">
        <f>BJ9/7</f>
        <v>555861.428571429</v>
      </c>
      <c r="BL11" s="9">
        <v>30000</v>
      </c>
      <c r="BM11" s="9">
        <v>4000</v>
      </c>
      <c r="BN11" s="9">
        <v>1500</v>
      </c>
      <c r="BO11" s="9">
        <v>800</v>
      </c>
      <c r="BP11" s="9">
        <v>5500</v>
      </c>
      <c r="BQ11" s="9">
        <v>3000</v>
      </c>
      <c r="BR11" s="9"/>
      <c r="BS11" s="11"/>
      <c r="BT11" s="68">
        <v>5080</v>
      </c>
      <c r="BU11" s="10"/>
      <c r="BV11" s="10"/>
      <c r="BW11" s="68">
        <v>16000</v>
      </c>
      <c r="BX11" s="68">
        <v>3000</v>
      </c>
      <c r="BY11" s="68">
        <v>50000</v>
      </c>
      <c r="BZ11" s="19"/>
      <c r="CA11" s="20" t="s">
        <v>71</v>
      </c>
      <c r="CB11" s="10">
        <v>62090</v>
      </c>
      <c r="CC11" s="11"/>
      <c r="CD11" s="29" t="s">
        <v>40</v>
      </c>
      <c r="CE11" s="30">
        <f>CE9/7</f>
        <v>492555.714285714</v>
      </c>
      <c r="CG11" s="9"/>
      <c r="CH11" s="9"/>
      <c r="CI11" s="9"/>
      <c r="CJ11" s="9"/>
      <c r="CK11" s="9"/>
      <c r="CL11" s="9"/>
      <c r="CM11" s="9"/>
      <c r="CN11" s="11"/>
      <c r="CO11" s="10"/>
      <c r="CP11" s="10"/>
      <c r="CQ11" s="10"/>
      <c r="CR11" s="10"/>
      <c r="CS11" s="19"/>
      <c r="CT11" s="20"/>
      <c r="CU11" s="10"/>
      <c r="CV11" s="11"/>
      <c r="CW11" s="29" t="s">
        <v>40</v>
      </c>
      <c r="CX11" s="30">
        <f>CX9/7</f>
        <v>0</v>
      </c>
      <c r="CZ11" s="43" t="s">
        <v>36</v>
      </c>
      <c r="DA11" s="61"/>
      <c r="DB11" s="62">
        <f>DB9-DB7</f>
        <v>1101530</v>
      </c>
      <c r="DC11" s="63"/>
    </row>
    <row r="12" ht="15" customHeight="1" spans="1:107">
      <c r="A12" s="9">
        <v>5000</v>
      </c>
      <c r="B12" s="9">
        <v>7000</v>
      </c>
      <c r="C12" s="9">
        <v>4500</v>
      </c>
      <c r="D12" s="9">
        <v>2000</v>
      </c>
      <c r="E12" s="9">
        <v>4000</v>
      </c>
      <c r="F12" s="9">
        <v>8300</v>
      </c>
      <c r="G12" s="9">
        <v>7500</v>
      </c>
      <c r="H12" s="11"/>
      <c r="I12" s="68">
        <v>18000</v>
      </c>
      <c r="J12" s="68">
        <v>5000</v>
      </c>
      <c r="K12" s="68">
        <v>13450</v>
      </c>
      <c r="L12" s="68">
        <v>5000</v>
      </c>
      <c r="M12" s="68">
        <v>28000</v>
      </c>
      <c r="N12" s="68">
        <v>9550</v>
      </c>
      <c r="O12" s="19"/>
      <c r="P12" s="20"/>
      <c r="Q12" s="10"/>
      <c r="R12" s="11"/>
      <c r="S12" s="24"/>
      <c r="T12" s="24"/>
      <c r="U12" s="24"/>
      <c r="V12" s="9">
        <v>12000</v>
      </c>
      <c r="W12" s="9">
        <v>600</v>
      </c>
      <c r="X12" s="9">
        <v>2450</v>
      </c>
      <c r="Y12" s="9">
        <v>1400</v>
      </c>
      <c r="Z12" s="9">
        <v>6000</v>
      </c>
      <c r="AA12" s="9"/>
      <c r="AB12" s="9"/>
      <c r="AC12" s="11"/>
      <c r="AD12" s="68">
        <v>5400</v>
      </c>
      <c r="AE12" s="68">
        <v>7500</v>
      </c>
      <c r="AF12" s="10"/>
      <c r="AG12" s="68">
        <v>23000</v>
      </c>
      <c r="AH12" s="68">
        <v>100</v>
      </c>
      <c r="AI12" s="68">
        <v>39500</v>
      </c>
      <c r="AJ12" s="19"/>
      <c r="AK12" s="20" t="s">
        <v>35</v>
      </c>
      <c r="AL12" s="10">
        <v>363770</v>
      </c>
      <c r="AM12" s="11"/>
      <c r="AN12" s="24"/>
      <c r="AO12" s="24"/>
      <c r="AQ12" s="9">
        <v>2500</v>
      </c>
      <c r="AR12" s="9">
        <v>12500</v>
      </c>
      <c r="AS12" s="9">
        <v>11000</v>
      </c>
      <c r="AT12" s="9">
        <v>6000</v>
      </c>
      <c r="AU12" s="9">
        <v>10000</v>
      </c>
      <c r="AV12" s="9">
        <v>5000</v>
      </c>
      <c r="AW12" s="9">
        <v>20000</v>
      </c>
      <c r="AX12" s="11"/>
      <c r="AY12" s="68">
        <v>15660</v>
      </c>
      <c r="AZ12" s="68">
        <v>4000</v>
      </c>
      <c r="BA12" s="68">
        <v>5940</v>
      </c>
      <c r="BB12" s="68">
        <v>7200</v>
      </c>
      <c r="BC12" s="68">
        <v>27000</v>
      </c>
      <c r="BD12" s="10"/>
      <c r="BE12" s="19"/>
      <c r="BF12" s="20" t="s">
        <v>31</v>
      </c>
      <c r="BG12" s="10">
        <v>28500</v>
      </c>
      <c r="BH12" s="11"/>
      <c r="BI12" s="24"/>
      <c r="BJ12" s="31">
        <v>500000</v>
      </c>
      <c r="BL12" s="9">
        <v>20000</v>
      </c>
      <c r="BM12" s="9">
        <v>8500</v>
      </c>
      <c r="BN12" s="9">
        <v>1500</v>
      </c>
      <c r="BO12" s="9">
        <v>7500</v>
      </c>
      <c r="BP12" s="9">
        <v>36000</v>
      </c>
      <c r="BQ12" s="9">
        <v>6100</v>
      </c>
      <c r="BR12" s="9"/>
      <c r="BS12" s="11"/>
      <c r="BT12" s="68">
        <v>7200</v>
      </c>
      <c r="BU12" s="10"/>
      <c r="BV12" s="10"/>
      <c r="BW12" s="68">
        <v>11000</v>
      </c>
      <c r="BX12" s="68">
        <v>40000</v>
      </c>
      <c r="BY12" s="68">
        <v>2000</v>
      </c>
      <c r="BZ12" s="19"/>
      <c r="CA12" s="20" t="s">
        <v>72</v>
      </c>
      <c r="CB12" s="10">
        <v>68060</v>
      </c>
      <c r="CC12" s="11"/>
      <c r="CD12" s="24"/>
      <c r="CE12" s="24"/>
      <c r="CF12" s="24"/>
      <c r="CG12" s="9"/>
      <c r="CH12" s="9"/>
      <c r="CI12" s="9"/>
      <c r="CJ12" s="9"/>
      <c r="CK12" s="9"/>
      <c r="CL12" s="9"/>
      <c r="CM12" s="9"/>
      <c r="CN12" s="11"/>
      <c r="CO12" s="10"/>
      <c r="CP12" s="10"/>
      <c r="CQ12" s="10"/>
      <c r="CR12" s="10"/>
      <c r="CS12" s="19"/>
      <c r="CT12" s="20"/>
      <c r="CU12" s="10"/>
      <c r="CV12" s="11"/>
      <c r="CW12" s="24"/>
      <c r="CX12" s="24"/>
      <c r="CZ12" s="44"/>
      <c r="DA12" s="64"/>
      <c r="DB12" s="65"/>
      <c r="DC12" s="66"/>
    </row>
    <row r="13" spans="1:102">
      <c r="A13" s="9">
        <v>18000</v>
      </c>
      <c r="B13" s="9">
        <v>20000</v>
      </c>
      <c r="C13" s="9">
        <v>2800</v>
      </c>
      <c r="D13" s="9">
        <v>12000</v>
      </c>
      <c r="E13" s="9">
        <v>12250</v>
      </c>
      <c r="F13" s="9">
        <v>2200</v>
      </c>
      <c r="G13" s="9"/>
      <c r="H13" s="11"/>
      <c r="I13" s="68">
        <v>2400</v>
      </c>
      <c r="J13" s="68">
        <v>4320</v>
      </c>
      <c r="K13" s="68">
        <v>15500</v>
      </c>
      <c r="L13" s="68">
        <v>2000</v>
      </c>
      <c r="M13" s="68">
        <v>1000</v>
      </c>
      <c r="N13" s="68">
        <v>9500</v>
      </c>
      <c r="O13" s="19"/>
      <c r="P13" s="20"/>
      <c r="Q13" s="10"/>
      <c r="R13" s="11"/>
      <c r="S13" s="24"/>
      <c r="T13" s="31"/>
      <c r="U13" s="24"/>
      <c r="V13" s="9">
        <v>600</v>
      </c>
      <c r="W13" s="9">
        <v>6500</v>
      </c>
      <c r="X13" s="9">
        <v>6300</v>
      </c>
      <c r="Y13" s="9">
        <v>11500</v>
      </c>
      <c r="Z13" s="9">
        <v>2000</v>
      </c>
      <c r="AA13" s="9"/>
      <c r="AB13" s="9"/>
      <c r="AC13" s="11"/>
      <c r="AD13" s="68">
        <v>4500</v>
      </c>
      <c r="AE13" s="68">
        <v>12000</v>
      </c>
      <c r="AF13" s="10"/>
      <c r="AG13" s="68">
        <v>10000</v>
      </c>
      <c r="AH13" s="68">
        <v>10340</v>
      </c>
      <c r="AI13" s="68">
        <v>3600</v>
      </c>
      <c r="AJ13" s="19"/>
      <c r="AK13" s="20" t="s">
        <v>73</v>
      </c>
      <c r="AL13" s="10">
        <v>364000</v>
      </c>
      <c r="AM13" s="11"/>
      <c r="AN13" s="24"/>
      <c r="AO13" s="31"/>
      <c r="AQ13" s="9">
        <v>3000</v>
      </c>
      <c r="AR13" s="9">
        <v>10500</v>
      </c>
      <c r="AS13" s="9">
        <v>8500</v>
      </c>
      <c r="AT13" s="9">
        <v>1000</v>
      </c>
      <c r="AU13" s="9">
        <v>6500</v>
      </c>
      <c r="AV13" s="9">
        <v>7500</v>
      </c>
      <c r="AW13" s="9">
        <v>3500</v>
      </c>
      <c r="AX13" s="11"/>
      <c r="AY13" s="68">
        <v>7690</v>
      </c>
      <c r="AZ13" s="68">
        <v>6600</v>
      </c>
      <c r="BA13" s="68">
        <v>16000</v>
      </c>
      <c r="BB13" s="68">
        <v>2000</v>
      </c>
      <c r="BC13" s="68">
        <v>2900</v>
      </c>
      <c r="BD13" s="10"/>
      <c r="BE13" s="19"/>
      <c r="BF13" s="20" t="s">
        <v>19</v>
      </c>
      <c r="BG13" s="10">
        <v>500000</v>
      </c>
      <c r="BH13" s="11"/>
      <c r="BI13" s="24"/>
      <c r="BJ13" s="31">
        <v>555620</v>
      </c>
      <c r="BL13" s="9">
        <v>700</v>
      </c>
      <c r="BM13" s="9">
        <v>2500</v>
      </c>
      <c r="BN13" s="9">
        <v>2400</v>
      </c>
      <c r="BO13" s="9">
        <v>4500</v>
      </c>
      <c r="BP13" s="9">
        <v>1500</v>
      </c>
      <c r="BQ13" s="9">
        <v>5500</v>
      </c>
      <c r="BR13" s="9"/>
      <c r="BS13" s="11"/>
      <c r="BT13" s="68">
        <v>2900</v>
      </c>
      <c r="BU13" s="10"/>
      <c r="BV13" s="10"/>
      <c r="BW13" s="68">
        <v>36000</v>
      </c>
      <c r="BX13" s="68">
        <v>35000</v>
      </c>
      <c r="BY13" s="10"/>
      <c r="BZ13" s="19"/>
      <c r="CA13" s="20"/>
      <c r="CB13" s="10"/>
      <c r="CC13" s="11"/>
      <c r="CD13" s="24"/>
      <c r="CE13" s="31"/>
      <c r="CF13" s="31"/>
      <c r="CG13" s="9"/>
      <c r="CH13" s="9"/>
      <c r="CI13" s="9"/>
      <c r="CJ13" s="9"/>
      <c r="CK13" s="9"/>
      <c r="CL13" s="9"/>
      <c r="CM13" s="9"/>
      <c r="CN13" s="11"/>
      <c r="CO13" s="10"/>
      <c r="CP13" s="10"/>
      <c r="CQ13" s="10"/>
      <c r="CR13" s="10"/>
      <c r="CS13" s="19"/>
      <c r="CT13" s="20"/>
      <c r="CU13" s="10"/>
      <c r="CV13" s="11"/>
      <c r="CW13" s="24"/>
      <c r="CX13" s="31"/>
    </row>
    <row r="14" spans="1:102">
      <c r="A14" s="9">
        <v>17500</v>
      </c>
      <c r="B14" s="9">
        <v>1500</v>
      </c>
      <c r="C14" s="9">
        <v>1500</v>
      </c>
      <c r="D14" s="9">
        <v>20400</v>
      </c>
      <c r="E14" s="9">
        <v>3500</v>
      </c>
      <c r="F14" s="9">
        <v>3600</v>
      </c>
      <c r="G14" s="9"/>
      <c r="H14" s="11"/>
      <c r="I14" s="68">
        <v>1200</v>
      </c>
      <c r="J14" s="68">
        <v>8160</v>
      </c>
      <c r="K14" s="68">
        <v>16600</v>
      </c>
      <c r="L14" s="68">
        <v>9900</v>
      </c>
      <c r="M14" s="68">
        <v>5800</v>
      </c>
      <c r="N14" s="68">
        <v>2300</v>
      </c>
      <c r="O14" s="19"/>
      <c r="P14" s="20"/>
      <c r="Q14" s="10"/>
      <c r="R14" s="11"/>
      <c r="S14" s="24"/>
      <c r="T14" s="24"/>
      <c r="U14" s="24"/>
      <c r="V14" s="9">
        <v>9000</v>
      </c>
      <c r="W14" s="9">
        <v>16000</v>
      </c>
      <c r="X14" s="9">
        <v>1000</v>
      </c>
      <c r="Y14" s="9">
        <v>8800</v>
      </c>
      <c r="Z14" s="9">
        <v>5500</v>
      </c>
      <c r="AA14" s="9"/>
      <c r="AB14" s="9"/>
      <c r="AC14" s="11"/>
      <c r="AD14" s="68">
        <v>28800</v>
      </c>
      <c r="AE14" s="68">
        <v>960</v>
      </c>
      <c r="AF14" s="10"/>
      <c r="AG14" s="68">
        <v>10500</v>
      </c>
      <c r="AH14" s="68">
        <v>3500</v>
      </c>
      <c r="AI14" s="68">
        <v>3200</v>
      </c>
      <c r="AJ14" s="19"/>
      <c r="AK14" s="20" t="s">
        <v>74</v>
      </c>
      <c r="AL14" s="10">
        <v>55000</v>
      </c>
      <c r="AM14" s="11"/>
      <c r="AN14" s="24"/>
      <c r="AO14" s="24"/>
      <c r="AQ14" s="9">
        <v>2000</v>
      </c>
      <c r="AR14" s="9">
        <v>1000</v>
      </c>
      <c r="AS14" s="9">
        <v>3000</v>
      </c>
      <c r="AT14" s="9">
        <v>9200</v>
      </c>
      <c r="AU14" s="9">
        <v>6500</v>
      </c>
      <c r="AV14" s="9">
        <v>2300</v>
      </c>
      <c r="AW14" s="9">
        <v>15000</v>
      </c>
      <c r="AX14" s="11"/>
      <c r="AY14" s="68">
        <v>2400</v>
      </c>
      <c r="AZ14" s="68">
        <v>11000</v>
      </c>
      <c r="BA14" s="68">
        <v>14000</v>
      </c>
      <c r="BB14" s="68">
        <v>4000</v>
      </c>
      <c r="BC14" s="68">
        <v>30600</v>
      </c>
      <c r="BD14" s="10"/>
      <c r="BE14" s="19"/>
      <c r="BF14" s="20" t="s">
        <v>19</v>
      </c>
      <c r="BG14" s="10">
        <v>1435800</v>
      </c>
      <c r="BH14" s="11"/>
      <c r="BI14" s="24"/>
      <c r="BJ14" s="31">
        <v>500000</v>
      </c>
      <c r="BL14" s="9">
        <v>20000</v>
      </c>
      <c r="BM14" s="9">
        <v>3100</v>
      </c>
      <c r="BN14" s="9">
        <v>7000</v>
      </c>
      <c r="BO14" s="9">
        <v>1500</v>
      </c>
      <c r="BP14" s="9">
        <v>3000</v>
      </c>
      <c r="BQ14" s="9">
        <v>8000</v>
      </c>
      <c r="BR14" s="9"/>
      <c r="BS14" s="11"/>
      <c r="BT14" s="68">
        <v>23050</v>
      </c>
      <c r="BU14" s="10"/>
      <c r="BV14" s="10"/>
      <c r="BW14" s="68">
        <v>30000</v>
      </c>
      <c r="BX14" s="68">
        <v>2000</v>
      </c>
      <c r="BY14" s="10"/>
      <c r="BZ14" s="19"/>
      <c r="CA14" s="20"/>
      <c r="CB14" s="10"/>
      <c r="CC14" s="11"/>
      <c r="CD14" s="24"/>
      <c r="CE14" s="24">
        <v>407330</v>
      </c>
      <c r="CF14" s="24"/>
      <c r="CG14" s="9"/>
      <c r="CH14" s="9"/>
      <c r="CI14" s="9"/>
      <c r="CJ14" s="9"/>
      <c r="CK14" s="9"/>
      <c r="CL14" s="9"/>
      <c r="CM14" s="9"/>
      <c r="CN14" s="11"/>
      <c r="CO14" s="10"/>
      <c r="CP14" s="10"/>
      <c r="CQ14" s="10"/>
      <c r="CR14" s="10"/>
      <c r="CS14" s="19"/>
      <c r="CT14" s="20"/>
      <c r="CU14" s="10"/>
      <c r="CV14" s="11"/>
      <c r="CW14" s="24"/>
      <c r="CX14" s="24">
        <v>128720</v>
      </c>
    </row>
    <row r="15" ht="15.75" customHeight="1" spans="1:102">
      <c r="A15" s="9">
        <v>5000</v>
      </c>
      <c r="B15" s="9">
        <v>4500</v>
      </c>
      <c r="C15" s="9">
        <v>2000</v>
      </c>
      <c r="D15" s="9">
        <v>30000</v>
      </c>
      <c r="E15" s="9">
        <v>6500</v>
      </c>
      <c r="F15" s="9">
        <v>5500</v>
      </c>
      <c r="G15" s="9"/>
      <c r="H15" s="11"/>
      <c r="I15" s="68">
        <v>4000</v>
      </c>
      <c r="J15" s="68">
        <v>9000</v>
      </c>
      <c r="K15" s="68">
        <v>4000</v>
      </c>
      <c r="L15" s="68">
        <v>13000</v>
      </c>
      <c r="M15" s="68">
        <v>9000</v>
      </c>
      <c r="N15" s="68">
        <v>5250</v>
      </c>
      <c r="O15" s="19"/>
      <c r="P15" s="20"/>
      <c r="Q15" s="10"/>
      <c r="R15" s="11"/>
      <c r="S15" s="32" t="s">
        <v>50</v>
      </c>
      <c r="T15" s="33">
        <v>1156370</v>
      </c>
      <c r="U15" s="24"/>
      <c r="V15" s="9">
        <v>12000</v>
      </c>
      <c r="W15" s="9">
        <v>8000</v>
      </c>
      <c r="X15" s="9">
        <v>15300</v>
      </c>
      <c r="Y15" s="9">
        <v>1000</v>
      </c>
      <c r="Z15" s="9">
        <v>27500</v>
      </c>
      <c r="AA15" s="9"/>
      <c r="AB15" s="9"/>
      <c r="AC15" s="11"/>
      <c r="AD15" s="68">
        <v>6000</v>
      </c>
      <c r="AE15" s="68">
        <v>22500</v>
      </c>
      <c r="AF15" s="10"/>
      <c r="AG15" s="68">
        <v>24000</v>
      </c>
      <c r="AH15" s="68">
        <v>9000</v>
      </c>
      <c r="AI15" s="68">
        <v>5500</v>
      </c>
      <c r="AJ15" s="19"/>
      <c r="AK15" s="20" t="s">
        <v>75</v>
      </c>
      <c r="AL15" s="10">
        <v>32540</v>
      </c>
      <c r="AM15" s="11"/>
      <c r="AN15" s="32" t="s">
        <v>50</v>
      </c>
      <c r="AO15" s="33">
        <v>1305780</v>
      </c>
      <c r="AQ15" s="9">
        <v>3000</v>
      </c>
      <c r="AR15" s="9">
        <v>6000</v>
      </c>
      <c r="AS15" s="9">
        <v>6500</v>
      </c>
      <c r="AT15" s="9">
        <v>18000</v>
      </c>
      <c r="AU15" s="9">
        <v>1000</v>
      </c>
      <c r="AV15" s="9">
        <v>10500</v>
      </c>
      <c r="AW15" s="9">
        <v>28000</v>
      </c>
      <c r="AX15" s="11"/>
      <c r="AY15" s="68">
        <v>8650</v>
      </c>
      <c r="AZ15" s="68">
        <v>5300</v>
      </c>
      <c r="BA15" s="10"/>
      <c r="BB15" s="68">
        <v>400</v>
      </c>
      <c r="BC15" s="68">
        <v>20500</v>
      </c>
      <c r="BD15" s="10"/>
      <c r="BE15" s="19"/>
      <c r="BF15" s="20" t="s">
        <v>8</v>
      </c>
      <c r="BG15" s="10">
        <v>555620</v>
      </c>
      <c r="BH15" s="11"/>
      <c r="BI15" s="32" t="s">
        <v>50</v>
      </c>
      <c r="BJ15" s="33">
        <v>462700</v>
      </c>
      <c r="BL15" s="9">
        <v>4000</v>
      </c>
      <c r="BM15" s="9">
        <v>6000</v>
      </c>
      <c r="BN15" s="9">
        <v>4800</v>
      </c>
      <c r="BO15" s="9">
        <v>5000</v>
      </c>
      <c r="BP15" s="9">
        <v>19000</v>
      </c>
      <c r="BQ15" s="9">
        <v>2500</v>
      </c>
      <c r="BR15" s="9"/>
      <c r="BS15" s="11"/>
      <c r="BT15" s="68">
        <v>5770</v>
      </c>
      <c r="BU15" s="10"/>
      <c r="BV15" s="10"/>
      <c r="BW15" s="68">
        <v>600</v>
      </c>
      <c r="BX15" s="68">
        <v>7500</v>
      </c>
      <c r="BY15" s="10"/>
      <c r="BZ15" s="19"/>
      <c r="CA15" s="20"/>
      <c r="CB15" s="10"/>
      <c r="CC15" s="11"/>
      <c r="CD15" s="32" t="s">
        <v>50</v>
      </c>
      <c r="CE15" s="33"/>
      <c r="CF15" s="24"/>
      <c r="CG15" s="9"/>
      <c r="CH15" s="9"/>
      <c r="CI15" s="9"/>
      <c r="CJ15" s="9"/>
      <c r="CK15" s="9"/>
      <c r="CL15" s="9"/>
      <c r="CM15" s="9"/>
      <c r="CN15" s="11"/>
      <c r="CO15" s="10"/>
      <c r="CP15" s="10"/>
      <c r="CQ15" s="10"/>
      <c r="CR15" s="10"/>
      <c r="CS15" s="19"/>
      <c r="CT15" s="20"/>
      <c r="CU15" s="10"/>
      <c r="CV15" s="11"/>
      <c r="CW15" s="32" t="s">
        <v>50</v>
      </c>
      <c r="CX15" s="33"/>
    </row>
    <row r="16" ht="15" customHeight="1" spans="1:102">
      <c r="A16" s="9">
        <v>4500</v>
      </c>
      <c r="B16" s="9">
        <v>67500</v>
      </c>
      <c r="C16" s="9">
        <v>1500</v>
      </c>
      <c r="D16" s="9">
        <v>3000</v>
      </c>
      <c r="E16" s="9">
        <v>4000</v>
      </c>
      <c r="F16" s="9">
        <v>4000</v>
      </c>
      <c r="G16" s="9"/>
      <c r="H16" s="11"/>
      <c r="I16" s="68">
        <v>20500</v>
      </c>
      <c r="J16" s="68">
        <v>6000</v>
      </c>
      <c r="K16" s="68">
        <v>41670</v>
      </c>
      <c r="L16" s="68">
        <v>8300</v>
      </c>
      <c r="M16" s="68">
        <v>4000</v>
      </c>
      <c r="N16" s="68">
        <v>1500</v>
      </c>
      <c r="O16" s="21"/>
      <c r="P16" s="20"/>
      <c r="Q16" s="10"/>
      <c r="R16" s="11"/>
      <c r="S16" s="32" t="s">
        <v>53</v>
      </c>
      <c r="T16" s="33">
        <v>356400</v>
      </c>
      <c r="U16" s="24"/>
      <c r="V16" s="9">
        <v>3500</v>
      </c>
      <c r="W16" s="9">
        <v>6000</v>
      </c>
      <c r="X16" s="9">
        <v>1500</v>
      </c>
      <c r="Y16" s="9">
        <v>4000</v>
      </c>
      <c r="Z16" s="9">
        <v>9000</v>
      </c>
      <c r="AA16" s="9"/>
      <c r="AB16" s="9"/>
      <c r="AC16" s="11"/>
      <c r="AD16" s="68">
        <v>34300</v>
      </c>
      <c r="AE16" s="68">
        <v>20000</v>
      </c>
      <c r="AF16" s="10"/>
      <c r="AG16" s="68">
        <v>24600</v>
      </c>
      <c r="AH16" s="68">
        <v>16500</v>
      </c>
      <c r="AI16" s="10"/>
      <c r="AJ16" s="21"/>
      <c r="AK16" s="20" t="s">
        <v>7</v>
      </c>
      <c r="AL16" s="10">
        <v>47920</v>
      </c>
      <c r="AM16" s="11"/>
      <c r="AN16" s="32" t="s">
        <v>53</v>
      </c>
      <c r="AO16" s="33">
        <v>1008370</v>
      </c>
      <c r="AQ16" s="9">
        <v>500</v>
      </c>
      <c r="AR16" s="9">
        <v>5000</v>
      </c>
      <c r="AS16" s="9">
        <v>3000</v>
      </c>
      <c r="AT16" s="9">
        <v>7350</v>
      </c>
      <c r="AU16" s="9">
        <v>20300</v>
      </c>
      <c r="AV16" s="9">
        <v>7600</v>
      </c>
      <c r="AW16" s="9"/>
      <c r="AX16" s="11"/>
      <c r="AY16" s="68">
        <v>40500</v>
      </c>
      <c r="AZ16" s="68">
        <v>15370</v>
      </c>
      <c r="BA16" s="10"/>
      <c r="BB16" s="68">
        <v>800</v>
      </c>
      <c r="BC16" s="68">
        <v>6000</v>
      </c>
      <c r="BD16" s="10"/>
      <c r="BE16" s="21"/>
      <c r="BF16" s="20" t="s">
        <v>29</v>
      </c>
      <c r="BG16" s="10">
        <v>96000</v>
      </c>
      <c r="BH16" s="11"/>
      <c r="BI16" s="32" t="s">
        <v>53</v>
      </c>
      <c r="BJ16" s="33">
        <v>22230</v>
      </c>
      <c r="BL16" s="9">
        <v>3500</v>
      </c>
      <c r="BM16" s="9">
        <v>3500</v>
      </c>
      <c r="BN16" s="9">
        <v>17000</v>
      </c>
      <c r="BO16" s="9">
        <v>8000</v>
      </c>
      <c r="BP16" s="9">
        <v>4500</v>
      </c>
      <c r="BQ16" s="9">
        <v>10000</v>
      </c>
      <c r="BR16" s="9"/>
      <c r="BS16" s="11"/>
      <c r="BT16" s="68">
        <v>18250</v>
      </c>
      <c r="BU16" s="10"/>
      <c r="BV16" s="10"/>
      <c r="BW16" s="68">
        <v>7000</v>
      </c>
      <c r="BX16" s="68">
        <v>115000</v>
      </c>
      <c r="BY16" s="10"/>
      <c r="BZ16" s="21"/>
      <c r="CA16" s="20"/>
      <c r="CB16" s="10"/>
      <c r="CC16" s="11"/>
      <c r="CD16" s="32" t="s">
        <v>53</v>
      </c>
      <c r="CE16" s="33">
        <v>209740</v>
      </c>
      <c r="CF16" s="31"/>
      <c r="CG16" s="9"/>
      <c r="CH16" s="9"/>
      <c r="CI16" s="9"/>
      <c r="CJ16" s="9"/>
      <c r="CK16" s="9"/>
      <c r="CL16" s="9"/>
      <c r="CM16" s="9"/>
      <c r="CN16" s="11"/>
      <c r="CO16" s="10"/>
      <c r="CP16" s="10"/>
      <c r="CQ16" s="10"/>
      <c r="CR16" s="10"/>
      <c r="CS16" s="21"/>
      <c r="CT16" s="20"/>
      <c r="CU16" s="10"/>
      <c r="CV16" s="11"/>
      <c r="CW16" s="32" t="s">
        <v>53</v>
      </c>
      <c r="CX16" s="33">
        <v>276180</v>
      </c>
    </row>
    <row r="17" ht="15.75" customHeight="1" spans="1:102">
      <c r="A17" s="9">
        <v>2000</v>
      </c>
      <c r="B17" s="9">
        <v>1500</v>
      </c>
      <c r="C17" s="9">
        <v>900</v>
      </c>
      <c r="D17" s="9">
        <v>500</v>
      </c>
      <c r="E17" s="9">
        <v>400</v>
      </c>
      <c r="F17" s="9">
        <v>25700</v>
      </c>
      <c r="G17" s="9"/>
      <c r="H17" s="11"/>
      <c r="I17" s="68">
        <v>2200</v>
      </c>
      <c r="J17" s="68">
        <v>1540</v>
      </c>
      <c r="K17" s="68">
        <v>4500</v>
      </c>
      <c r="L17" s="68">
        <v>95000</v>
      </c>
      <c r="M17" s="68">
        <v>27000</v>
      </c>
      <c r="N17" s="68">
        <v>39000</v>
      </c>
      <c r="O17" s="21"/>
      <c r="P17" s="20"/>
      <c r="Q17" s="10"/>
      <c r="R17" s="11"/>
      <c r="S17" s="24"/>
      <c r="T17" s="31"/>
      <c r="U17" s="24"/>
      <c r="V17" s="9">
        <v>6000</v>
      </c>
      <c r="W17" s="9">
        <v>1600</v>
      </c>
      <c r="X17" s="9">
        <v>6500</v>
      </c>
      <c r="Y17" s="9">
        <v>2000</v>
      </c>
      <c r="Z17" s="9">
        <v>3000</v>
      </c>
      <c r="AA17" s="9"/>
      <c r="AB17" s="9"/>
      <c r="AC17" s="11"/>
      <c r="AD17" s="68">
        <v>50820</v>
      </c>
      <c r="AE17" s="68">
        <v>10000</v>
      </c>
      <c r="AF17" s="10"/>
      <c r="AG17" s="68">
        <v>220900</v>
      </c>
      <c r="AH17" s="68">
        <v>21600</v>
      </c>
      <c r="AI17" s="10"/>
      <c r="AJ17" s="21"/>
      <c r="AK17" s="20" t="s">
        <v>76</v>
      </c>
      <c r="AL17" s="10">
        <v>37000</v>
      </c>
      <c r="AM17" s="11"/>
      <c r="AN17" s="24"/>
      <c r="AO17" s="31"/>
      <c r="AQ17" s="9">
        <v>3200</v>
      </c>
      <c r="AR17" s="9">
        <v>2500</v>
      </c>
      <c r="AS17" s="9">
        <v>12000</v>
      </c>
      <c r="AT17" s="9">
        <v>30600</v>
      </c>
      <c r="AU17" s="9">
        <v>2400</v>
      </c>
      <c r="AV17" s="9">
        <v>3500</v>
      </c>
      <c r="AW17" s="9"/>
      <c r="AX17" s="11"/>
      <c r="AY17" s="68">
        <v>3840</v>
      </c>
      <c r="AZ17" s="68">
        <v>6000</v>
      </c>
      <c r="BA17" s="10"/>
      <c r="BB17" s="68">
        <v>3000</v>
      </c>
      <c r="BC17" s="68">
        <v>5500</v>
      </c>
      <c r="BD17" s="10"/>
      <c r="BE17" s="21"/>
      <c r="BF17" s="20" t="s">
        <v>77</v>
      </c>
      <c r="BG17" s="10">
        <v>15000</v>
      </c>
      <c r="BH17" s="11"/>
      <c r="BI17" s="24"/>
      <c r="BJ17" s="31">
        <v>60000</v>
      </c>
      <c r="BL17" s="9">
        <v>1800</v>
      </c>
      <c r="BM17" s="9">
        <v>6000</v>
      </c>
      <c r="BN17" s="9">
        <v>1500</v>
      </c>
      <c r="BO17" s="9">
        <v>24500</v>
      </c>
      <c r="BP17" s="9">
        <v>2450</v>
      </c>
      <c r="BQ17" s="9">
        <v>25500</v>
      </c>
      <c r="BR17" s="9"/>
      <c r="BS17" s="11"/>
      <c r="BT17" s="68">
        <v>10900</v>
      </c>
      <c r="BU17" s="10"/>
      <c r="BV17" s="10"/>
      <c r="BW17" s="68">
        <v>1000</v>
      </c>
      <c r="BX17" s="68">
        <v>900</v>
      </c>
      <c r="BY17" s="10"/>
      <c r="BZ17" s="21"/>
      <c r="CA17" s="20"/>
      <c r="CB17" s="10"/>
      <c r="CC17" s="11"/>
      <c r="CD17" s="24"/>
      <c r="CE17" s="31">
        <v>305000</v>
      </c>
      <c r="CF17" s="31"/>
      <c r="CG17" s="9"/>
      <c r="CH17" s="9"/>
      <c r="CI17" s="9"/>
      <c r="CJ17" s="9"/>
      <c r="CK17" s="9"/>
      <c r="CL17" s="9"/>
      <c r="CM17" s="9"/>
      <c r="CN17" s="11"/>
      <c r="CO17" s="10"/>
      <c r="CP17" s="10"/>
      <c r="CQ17" s="10"/>
      <c r="CR17" s="10"/>
      <c r="CS17" s="21"/>
      <c r="CT17" s="20"/>
      <c r="CU17" s="10"/>
      <c r="CV17" s="11"/>
      <c r="CW17" s="24"/>
      <c r="CX17" s="31"/>
    </row>
    <row r="18" ht="15.75" customHeight="1" spans="1:100">
      <c r="A18" s="9">
        <v>5300</v>
      </c>
      <c r="B18" s="9">
        <v>6000</v>
      </c>
      <c r="C18" s="9">
        <v>16600</v>
      </c>
      <c r="D18" s="9">
        <v>17000</v>
      </c>
      <c r="E18" s="9">
        <v>2500</v>
      </c>
      <c r="F18" s="9">
        <v>10000</v>
      </c>
      <c r="G18" s="9"/>
      <c r="H18" s="11"/>
      <c r="I18" s="68">
        <v>1500</v>
      </c>
      <c r="J18" s="68">
        <v>3500</v>
      </c>
      <c r="K18" s="68">
        <v>77910</v>
      </c>
      <c r="L18" s="68">
        <v>6000</v>
      </c>
      <c r="M18" s="68">
        <v>6000</v>
      </c>
      <c r="N18" s="68">
        <v>2000</v>
      </c>
      <c r="O18" s="21"/>
      <c r="P18" s="20"/>
      <c r="Q18" s="10"/>
      <c r="R18" s="11"/>
      <c r="U18" s="24"/>
      <c r="V18" s="9">
        <v>1500</v>
      </c>
      <c r="W18" s="9">
        <v>15000</v>
      </c>
      <c r="X18" s="9">
        <v>4900</v>
      </c>
      <c r="Y18" s="9">
        <v>1800</v>
      </c>
      <c r="Z18" s="9">
        <v>3500</v>
      </c>
      <c r="AA18" s="9"/>
      <c r="AB18" s="9"/>
      <c r="AC18" s="11"/>
      <c r="AD18" s="68">
        <v>9000</v>
      </c>
      <c r="AE18" s="68">
        <v>8650</v>
      </c>
      <c r="AF18" s="10"/>
      <c r="AG18" s="68">
        <v>6500</v>
      </c>
      <c r="AH18" s="68">
        <v>11000</v>
      </c>
      <c r="AI18" s="10"/>
      <c r="AJ18" s="21"/>
      <c r="AK18" s="20" t="s">
        <v>44</v>
      </c>
      <c r="AL18" s="10">
        <v>145600</v>
      </c>
      <c r="AM18" s="11"/>
      <c r="AQ18" s="9">
        <v>6000</v>
      </c>
      <c r="AR18" s="9">
        <v>2500</v>
      </c>
      <c r="AS18" s="9">
        <v>55000</v>
      </c>
      <c r="AT18" s="9">
        <v>6500</v>
      </c>
      <c r="AU18" s="9">
        <v>18000</v>
      </c>
      <c r="AV18" s="9">
        <v>5000</v>
      </c>
      <c r="AW18" s="9"/>
      <c r="AX18" s="11"/>
      <c r="AY18" s="68">
        <v>4800</v>
      </c>
      <c r="AZ18" s="68">
        <v>5280</v>
      </c>
      <c r="BA18" s="10"/>
      <c r="BB18" s="68">
        <v>300</v>
      </c>
      <c r="BC18" s="68">
        <v>7000</v>
      </c>
      <c r="BD18" s="10"/>
      <c r="BE18" s="21"/>
      <c r="BF18" s="20" t="s">
        <v>31</v>
      </c>
      <c r="BG18" s="10">
        <v>29100</v>
      </c>
      <c r="BH18" s="11"/>
      <c r="BJ18" s="79">
        <v>131930</v>
      </c>
      <c r="BL18" s="9">
        <v>500</v>
      </c>
      <c r="BM18" s="9">
        <v>10000</v>
      </c>
      <c r="BN18" s="9">
        <v>1000</v>
      </c>
      <c r="BO18" s="9">
        <v>10000</v>
      </c>
      <c r="BP18" s="9">
        <v>31000</v>
      </c>
      <c r="BQ18" s="9"/>
      <c r="BR18" s="9"/>
      <c r="BS18" s="11"/>
      <c r="BT18" s="68">
        <v>11000</v>
      </c>
      <c r="BU18" s="10"/>
      <c r="BV18" s="10"/>
      <c r="BW18" s="68">
        <v>19000</v>
      </c>
      <c r="BX18" s="68">
        <v>6000</v>
      </c>
      <c r="BY18" s="10"/>
      <c r="BZ18" s="21"/>
      <c r="CA18" s="20"/>
      <c r="CB18" s="10"/>
      <c r="CC18" s="11"/>
      <c r="CE18" s="31">
        <v>65050</v>
      </c>
      <c r="CF18" s="24"/>
      <c r="CG18" s="9"/>
      <c r="CH18" s="9"/>
      <c r="CI18" s="9"/>
      <c r="CJ18" s="9"/>
      <c r="CK18" s="9"/>
      <c r="CL18" s="9"/>
      <c r="CM18" s="9"/>
      <c r="CN18" s="11"/>
      <c r="CO18" s="10"/>
      <c r="CP18" s="10"/>
      <c r="CQ18" s="10"/>
      <c r="CR18" s="10"/>
      <c r="CS18" s="21"/>
      <c r="CT18" s="20"/>
      <c r="CU18" s="10"/>
      <c r="CV18" s="11"/>
    </row>
    <row r="19" ht="15.75" customHeight="1" spans="1:102">
      <c r="A19" s="9">
        <v>300</v>
      </c>
      <c r="B19" s="9">
        <v>30600</v>
      </c>
      <c r="C19" s="9">
        <v>5000</v>
      </c>
      <c r="D19" s="9">
        <v>5000</v>
      </c>
      <c r="E19" s="9">
        <v>1000</v>
      </c>
      <c r="F19" s="9">
        <v>4000</v>
      </c>
      <c r="G19" s="9"/>
      <c r="H19" s="11"/>
      <c r="I19" s="68">
        <v>7000</v>
      </c>
      <c r="J19" s="68">
        <v>6820</v>
      </c>
      <c r="K19" s="68">
        <v>13000</v>
      </c>
      <c r="L19" s="68">
        <v>1500</v>
      </c>
      <c r="M19" s="68">
        <v>500</v>
      </c>
      <c r="N19" s="68">
        <v>2000</v>
      </c>
      <c r="O19" s="21"/>
      <c r="P19" s="20"/>
      <c r="Q19" s="10"/>
      <c r="R19" s="11"/>
      <c r="S19" s="24"/>
      <c r="T19" s="31"/>
      <c r="U19" s="24"/>
      <c r="V19" s="9">
        <v>5000</v>
      </c>
      <c r="W19" s="9">
        <v>5000</v>
      </c>
      <c r="X19" s="9">
        <v>1500</v>
      </c>
      <c r="Y19" s="9">
        <v>5000</v>
      </c>
      <c r="Z19" s="9">
        <v>1000</v>
      </c>
      <c r="AA19" s="9"/>
      <c r="AB19" s="9"/>
      <c r="AC19" s="11"/>
      <c r="AD19" s="68">
        <v>5500</v>
      </c>
      <c r="AE19" s="68">
        <v>9600</v>
      </c>
      <c r="AF19" s="10"/>
      <c r="AG19" s="68">
        <v>25000</v>
      </c>
      <c r="AH19" s="68">
        <v>12500</v>
      </c>
      <c r="AI19" s="10"/>
      <c r="AJ19" s="21"/>
      <c r="AK19" s="20"/>
      <c r="AL19" s="10"/>
      <c r="AM19" s="11"/>
      <c r="AN19" s="24"/>
      <c r="AO19" s="31"/>
      <c r="AQ19" s="9">
        <v>16000</v>
      </c>
      <c r="AR19" s="9">
        <v>4000</v>
      </c>
      <c r="AS19" s="9">
        <v>600</v>
      </c>
      <c r="AT19" s="9">
        <v>4500</v>
      </c>
      <c r="AU19" s="9">
        <v>16000</v>
      </c>
      <c r="AV19" s="9">
        <v>3000</v>
      </c>
      <c r="AW19" s="9"/>
      <c r="AX19" s="11"/>
      <c r="AY19" s="68">
        <v>45920</v>
      </c>
      <c r="AZ19" s="68">
        <v>6720</v>
      </c>
      <c r="BA19" s="10"/>
      <c r="BB19" s="68">
        <v>4100</v>
      </c>
      <c r="BC19" s="68">
        <v>4200</v>
      </c>
      <c r="BD19" s="10"/>
      <c r="BE19" s="21"/>
      <c r="BF19" s="20" t="s">
        <v>78</v>
      </c>
      <c r="BG19" s="10">
        <v>9000</v>
      </c>
      <c r="BH19" s="11"/>
      <c r="BI19" s="24"/>
      <c r="BJ19" s="31">
        <v>96000</v>
      </c>
      <c r="BL19" s="9">
        <v>3500</v>
      </c>
      <c r="BM19" s="9">
        <v>6500</v>
      </c>
      <c r="BN19" s="9">
        <v>5000</v>
      </c>
      <c r="BO19" s="9">
        <v>500</v>
      </c>
      <c r="BP19" s="9">
        <v>6000</v>
      </c>
      <c r="BQ19" s="9"/>
      <c r="BR19" s="9"/>
      <c r="BS19" s="11"/>
      <c r="BT19" s="68">
        <v>37470</v>
      </c>
      <c r="BU19" s="10"/>
      <c r="BV19" s="10"/>
      <c r="BW19" s="68">
        <v>3000</v>
      </c>
      <c r="BX19" s="68">
        <v>3200</v>
      </c>
      <c r="BY19" s="10"/>
      <c r="BZ19" s="21"/>
      <c r="CA19" s="20"/>
      <c r="CB19" s="10"/>
      <c r="CC19" s="11"/>
      <c r="CD19" s="24"/>
      <c r="CE19" s="31">
        <v>408900</v>
      </c>
      <c r="CF19" s="31"/>
      <c r="CG19" s="9"/>
      <c r="CH19" s="9"/>
      <c r="CI19" s="9"/>
      <c r="CJ19" s="9"/>
      <c r="CK19" s="9"/>
      <c r="CL19" s="9"/>
      <c r="CM19" s="9"/>
      <c r="CN19" s="11"/>
      <c r="CO19" s="10"/>
      <c r="CP19" s="10"/>
      <c r="CQ19" s="10"/>
      <c r="CR19" s="10"/>
      <c r="CS19" s="21"/>
      <c r="CT19" s="20"/>
      <c r="CU19" s="10"/>
      <c r="CV19" s="11"/>
      <c r="CW19" s="24"/>
      <c r="CX19" s="31"/>
    </row>
    <row r="20" ht="15" customHeight="1" spans="1:102">
      <c r="A20" s="9">
        <v>96000</v>
      </c>
      <c r="B20" s="9">
        <v>800</v>
      </c>
      <c r="C20" s="9">
        <v>5000</v>
      </c>
      <c r="D20" s="9">
        <v>3000</v>
      </c>
      <c r="E20" s="9">
        <v>15000</v>
      </c>
      <c r="F20" s="9">
        <v>18800</v>
      </c>
      <c r="G20" s="9"/>
      <c r="H20" s="11"/>
      <c r="I20" s="68">
        <v>7500</v>
      </c>
      <c r="J20" s="68">
        <v>2500</v>
      </c>
      <c r="K20" s="68">
        <v>37600</v>
      </c>
      <c r="L20" s="68">
        <v>8000</v>
      </c>
      <c r="M20" s="68">
        <v>6500</v>
      </c>
      <c r="N20" s="68">
        <v>8000</v>
      </c>
      <c r="O20" s="21"/>
      <c r="P20" s="20"/>
      <c r="Q20" s="10"/>
      <c r="R20" s="11"/>
      <c r="S20" s="24"/>
      <c r="T20" s="31"/>
      <c r="U20" s="24"/>
      <c r="V20" s="9">
        <v>1500</v>
      </c>
      <c r="W20" s="9">
        <v>500</v>
      </c>
      <c r="X20" s="9">
        <v>3500</v>
      </c>
      <c r="Y20" s="9">
        <v>2500</v>
      </c>
      <c r="Z20" s="9">
        <v>9800</v>
      </c>
      <c r="AA20" s="9"/>
      <c r="AB20" s="9"/>
      <c r="AC20" s="11"/>
      <c r="AD20" s="68">
        <v>9410</v>
      </c>
      <c r="AE20" s="68">
        <v>51790</v>
      </c>
      <c r="AF20" s="10"/>
      <c r="AG20" s="68">
        <v>3500</v>
      </c>
      <c r="AH20" s="68">
        <v>5500</v>
      </c>
      <c r="AI20" s="10"/>
      <c r="AJ20" s="21"/>
      <c r="AK20" s="20"/>
      <c r="AL20" s="10"/>
      <c r="AM20" s="11"/>
      <c r="AN20" s="24"/>
      <c r="AO20" s="31"/>
      <c r="AQ20" s="9">
        <v>550</v>
      </c>
      <c r="AR20" s="9">
        <v>10000</v>
      </c>
      <c r="AS20" s="9">
        <v>8000</v>
      </c>
      <c r="AT20" s="9">
        <v>3500</v>
      </c>
      <c r="AU20" s="9">
        <v>15000</v>
      </c>
      <c r="AV20" s="9">
        <v>7000</v>
      </c>
      <c r="AW20" s="9"/>
      <c r="AX20" s="11"/>
      <c r="AY20" s="68">
        <v>3550</v>
      </c>
      <c r="AZ20" s="68">
        <v>5440</v>
      </c>
      <c r="BA20" s="10"/>
      <c r="BB20" s="68">
        <v>8000</v>
      </c>
      <c r="BC20" s="68">
        <v>10000</v>
      </c>
      <c r="BD20" s="10"/>
      <c r="BE20" s="21"/>
      <c r="BF20" s="20"/>
      <c r="BG20" s="10"/>
      <c r="BH20" s="11"/>
      <c r="BI20" s="24"/>
      <c r="BJ20" s="31">
        <v>130000</v>
      </c>
      <c r="BL20" s="9">
        <v>1000</v>
      </c>
      <c r="BM20" s="9">
        <v>3500</v>
      </c>
      <c r="BN20" s="9">
        <v>3000</v>
      </c>
      <c r="BO20" s="9">
        <v>4300</v>
      </c>
      <c r="BP20" s="9">
        <v>3000</v>
      </c>
      <c r="BQ20" s="9"/>
      <c r="BR20" s="9"/>
      <c r="BS20" s="11"/>
      <c r="BT20" s="68">
        <v>1500</v>
      </c>
      <c r="BU20" s="10"/>
      <c r="BV20" s="10"/>
      <c r="BW20" s="68">
        <v>900</v>
      </c>
      <c r="BX20" s="68">
        <v>5400</v>
      </c>
      <c r="BY20" s="10"/>
      <c r="BZ20" s="21"/>
      <c r="CA20" s="20"/>
      <c r="CB20" s="10"/>
      <c r="CC20" s="11"/>
      <c r="CD20" s="24"/>
      <c r="CE20" s="31">
        <v>18000</v>
      </c>
      <c r="CF20" s="24"/>
      <c r="CG20" s="9"/>
      <c r="CH20" s="9"/>
      <c r="CI20" s="9"/>
      <c r="CJ20" s="9"/>
      <c r="CK20" s="9"/>
      <c r="CL20" s="9"/>
      <c r="CM20" s="9"/>
      <c r="CN20" s="11"/>
      <c r="CO20" s="10"/>
      <c r="CP20" s="10"/>
      <c r="CQ20" s="10"/>
      <c r="CR20" s="10"/>
      <c r="CS20" s="21"/>
      <c r="CT20" s="20"/>
      <c r="CU20" s="10"/>
      <c r="CV20" s="11"/>
      <c r="CW20" s="24"/>
      <c r="CX20" s="31"/>
    </row>
    <row r="21" ht="15" customHeight="1" spans="1:102">
      <c r="A21" s="9">
        <v>7800</v>
      </c>
      <c r="B21" s="9">
        <v>1500</v>
      </c>
      <c r="C21" s="9">
        <v>500</v>
      </c>
      <c r="D21" s="9">
        <v>6500</v>
      </c>
      <c r="E21" s="9">
        <v>1500</v>
      </c>
      <c r="F21" s="9">
        <v>2800</v>
      </c>
      <c r="G21" s="9"/>
      <c r="H21" s="11"/>
      <c r="I21" s="68">
        <v>2500</v>
      </c>
      <c r="J21" s="68">
        <v>8000</v>
      </c>
      <c r="K21" s="68">
        <v>10090</v>
      </c>
      <c r="L21" s="68">
        <v>5000</v>
      </c>
      <c r="M21" s="68">
        <v>4500</v>
      </c>
      <c r="N21" s="68">
        <v>8900</v>
      </c>
      <c r="O21" s="21"/>
      <c r="P21" s="20"/>
      <c r="Q21" s="10"/>
      <c r="R21" s="11"/>
      <c r="S21" s="24"/>
      <c r="T21" s="31"/>
      <c r="U21" s="24"/>
      <c r="V21" s="9">
        <v>5500</v>
      </c>
      <c r="W21" s="9">
        <v>1000</v>
      </c>
      <c r="X21" s="9">
        <v>13900</v>
      </c>
      <c r="Y21" s="9">
        <v>2000</v>
      </c>
      <c r="Z21" s="9">
        <v>2500</v>
      </c>
      <c r="AA21" s="9"/>
      <c r="AB21" s="9"/>
      <c r="AC21" s="11"/>
      <c r="AD21" s="68">
        <v>8000</v>
      </c>
      <c r="AE21" s="10"/>
      <c r="AF21" s="10"/>
      <c r="AG21" s="68">
        <v>15000</v>
      </c>
      <c r="AH21" s="68">
        <v>10000</v>
      </c>
      <c r="AI21" s="10"/>
      <c r="AJ21" s="21"/>
      <c r="AK21" s="20"/>
      <c r="AL21" s="10"/>
      <c r="AM21" s="11"/>
      <c r="AN21" s="24"/>
      <c r="AO21" s="31"/>
      <c r="AQ21" s="9">
        <v>1000</v>
      </c>
      <c r="AR21" s="9">
        <v>1500</v>
      </c>
      <c r="AS21" s="9">
        <v>5000</v>
      </c>
      <c r="AT21" s="9">
        <v>1000</v>
      </c>
      <c r="AU21" s="9">
        <v>8500</v>
      </c>
      <c r="AV21" s="9">
        <v>5000</v>
      </c>
      <c r="AW21" s="9"/>
      <c r="AX21" s="11"/>
      <c r="AY21" s="68">
        <v>7970</v>
      </c>
      <c r="AZ21" s="68">
        <v>1000</v>
      </c>
      <c r="BA21" s="10"/>
      <c r="BB21" s="68">
        <v>2100</v>
      </c>
      <c r="BC21" s="68">
        <v>6400</v>
      </c>
      <c r="BD21" s="10"/>
      <c r="BE21" s="21"/>
      <c r="BF21" s="20"/>
      <c r="BG21" s="10"/>
      <c r="BH21" s="11"/>
      <c r="BI21" s="24"/>
      <c r="BJ21" s="31"/>
      <c r="BL21" s="9">
        <v>9000</v>
      </c>
      <c r="BM21" s="9">
        <v>4800</v>
      </c>
      <c r="BN21" s="9">
        <v>38000</v>
      </c>
      <c r="BO21" s="9">
        <v>900</v>
      </c>
      <c r="BP21" s="9">
        <v>18600</v>
      </c>
      <c r="BQ21" s="9"/>
      <c r="BR21" s="9"/>
      <c r="BS21" s="11"/>
      <c r="BT21" s="68">
        <v>5500</v>
      </c>
      <c r="BU21" s="10"/>
      <c r="BV21" s="10"/>
      <c r="BW21" s="68">
        <v>8500</v>
      </c>
      <c r="BX21" s="68">
        <v>5900</v>
      </c>
      <c r="BY21" s="10"/>
      <c r="BZ21" s="21"/>
      <c r="CA21" s="20"/>
      <c r="CB21" s="10"/>
      <c r="CC21" s="11"/>
      <c r="CD21" s="24"/>
      <c r="CE21" s="31">
        <v>62090</v>
      </c>
      <c r="CF21" s="24"/>
      <c r="CG21" s="9"/>
      <c r="CH21" s="9"/>
      <c r="CI21" s="9"/>
      <c r="CJ21" s="9"/>
      <c r="CK21" s="9"/>
      <c r="CL21" s="9"/>
      <c r="CM21" s="9"/>
      <c r="CN21" s="11"/>
      <c r="CO21" s="10"/>
      <c r="CP21" s="10"/>
      <c r="CQ21" s="10"/>
      <c r="CR21" s="10"/>
      <c r="CS21" s="21"/>
      <c r="CT21" s="20"/>
      <c r="CU21" s="10"/>
      <c r="CV21" s="11"/>
      <c r="CW21" s="24"/>
      <c r="CX21" s="31"/>
    </row>
    <row r="22" ht="15.75" customHeight="1" spans="1:102">
      <c r="A22" s="9">
        <v>10000</v>
      </c>
      <c r="B22" s="9">
        <v>8000</v>
      </c>
      <c r="C22" s="9">
        <v>7000</v>
      </c>
      <c r="D22" s="9">
        <v>6500</v>
      </c>
      <c r="E22" s="9">
        <v>4000</v>
      </c>
      <c r="F22" s="9">
        <v>2000</v>
      </c>
      <c r="G22" s="9"/>
      <c r="H22" s="11"/>
      <c r="I22" s="68">
        <v>8940</v>
      </c>
      <c r="J22" s="68">
        <v>4500</v>
      </c>
      <c r="K22" s="68">
        <v>36590</v>
      </c>
      <c r="L22" s="68">
        <v>28000</v>
      </c>
      <c r="M22" s="68">
        <v>4000</v>
      </c>
      <c r="N22" s="68">
        <v>3200</v>
      </c>
      <c r="O22" s="21"/>
      <c r="P22" s="20"/>
      <c r="Q22" s="10"/>
      <c r="R22" s="11"/>
      <c r="S22" s="24"/>
      <c r="T22" s="31"/>
      <c r="U22" s="24"/>
      <c r="V22" s="9">
        <v>1500</v>
      </c>
      <c r="W22" s="9">
        <v>3000</v>
      </c>
      <c r="X22" s="9">
        <v>9000</v>
      </c>
      <c r="Y22" s="9">
        <v>10000</v>
      </c>
      <c r="Z22" s="9">
        <v>5000</v>
      </c>
      <c r="AA22" s="9"/>
      <c r="AB22" s="9"/>
      <c r="AC22" s="11"/>
      <c r="AD22" s="68">
        <v>12000</v>
      </c>
      <c r="AE22" s="10"/>
      <c r="AF22" s="10"/>
      <c r="AG22" s="68">
        <v>9000</v>
      </c>
      <c r="AH22" s="68">
        <v>4600</v>
      </c>
      <c r="AI22" s="10"/>
      <c r="AJ22" s="21"/>
      <c r="AK22" s="20"/>
      <c r="AL22" s="10"/>
      <c r="AM22" s="11"/>
      <c r="AN22" s="24"/>
      <c r="AO22" s="31"/>
      <c r="AQ22" s="9">
        <v>3000</v>
      </c>
      <c r="AR22" s="9">
        <v>3200</v>
      </c>
      <c r="AS22" s="9">
        <v>3000</v>
      </c>
      <c r="AT22" s="9">
        <v>9000</v>
      </c>
      <c r="AU22" s="9">
        <v>3500</v>
      </c>
      <c r="AV22" s="9">
        <v>20000</v>
      </c>
      <c r="AW22" s="9"/>
      <c r="AX22" s="11"/>
      <c r="AY22" s="68">
        <v>6100</v>
      </c>
      <c r="AZ22" s="68">
        <v>5000</v>
      </c>
      <c r="BA22" s="10"/>
      <c r="BB22" s="68">
        <v>49000</v>
      </c>
      <c r="BC22" s="68">
        <v>15400</v>
      </c>
      <c r="BD22" s="10"/>
      <c r="BE22" s="21"/>
      <c r="BF22" s="20"/>
      <c r="BG22" s="10"/>
      <c r="BH22" s="11"/>
      <c r="BI22" s="24"/>
      <c r="BJ22" s="31"/>
      <c r="BL22" s="9">
        <v>9750</v>
      </c>
      <c r="BM22" s="9">
        <v>19500</v>
      </c>
      <c r="BN22" s="9">
        <v>6000</v>
      </c>
      <c r="BO22" s="9">
        <v>1500</v>
      </c>
      <c r="BP22" s="9">
        <v>6500</v>
      </c>
      <c r="BQ22" s="9"/>
      <c r="BR22" s="9"/>
      <c r="BS22" s="11"/>
      <c r="BT22" s="68">
        <v>63520</v>
      </c>
      <c r="BU22" s="10"/>
      <c r="BV22" s="10"/>
      <c r="BW22" s="68">
        <v>2000</v>
      </c>
      <c r="BX22" s="68">
        <v>55000</v>
      </c>
      <c r="BY22" s="10"/>
      <c r="BZ22" s="21"/>
      <c r="CA22" s="20"/>
      <c r="CB22" s="10"/>
      <c r="CC22" s="11"/>
      <c r="CD22" s="24"/>
      <c r="CE22" s="31"/>
      <c r="CF22" s="24"/>
      <c r="CG22" s="9"/>
      <c r="CH22" s="9"/>
      <c r="CI22" s="9"/>
      <c r="CJ22" s="9"/>
      <c r="CK22" s="9"/>
      <c r="CL22" s="9"/>
      <c r="CM22" s="9"/>
      <c r="CN22" s="11"/>
      <c r="CO22" s="10"/>
      <c r="CP22" s="10"/>
      <c r="CQ22" s="10"/>
      <c r="CR22" s="10"/>
      <c r="CS22" s="21"/>
      <c r="CT22" s="20"/>
      <c r="CU22" s="10"/>
      <c r="CV22" s="11"/>
      <c r="CW22" s="24"/>
      <c r="CX22" s="31"/>
    </row>
    <row r="23" spans="1:102">
      <c r="A23" s="9">
        <v>10000</v>
      </c>
      <c r="B23" s="9">
        <v>6500</v>
      </c>
      <c r="C23" s="9">
        <v>1600</v>
      </c>
      <c r="D23" s="9">
        <v>8000</v>
      </c>
      <c r="E23" s="9">
        <v>7500</v>
      </c>
      <c r="F23" s="9">
        <v>400</v>
      </c>
      <c r="G23" s="9"/>
      <c r="H23" s="11"/>
      <c r="I23" s="68">
        <v>1000</v>
      </c>
      <c r="J23" s="68">
        <v>15500</v>
      </c>
      <c r="K23" s="68">
        <v>31000</v>
      </c>
      <c r="L23" s="68">
        <v>7000</v>
      </c>
      <c r="M23" s="68">
        <v>600</v>
      </c>
      <c r="N23" s="68">
        <v>500</v>
      </c>
      <c r="O23" s="21"/>
      <c r="P23" s="20"/>
      <c r="Q23" s="10"/>
      <c r="R23" s="11"/>
      <c r="S23" s="24"/>
      <c r="T23" s="31"/>
      <c r="U23" s="24"/>
      <c r="V23" s="9">
        <v>1000</v>
      </c>
      <c r="W23" s="9">
        <v>2000</v>
      </c>
      <c r="X23" s="9">
        <v>7000</v>
      </c>
      <c r="Y23" s="9">
        <v>2300</v>
      </c>
      <c r="Z23" s="9">
        <v>600</v>
      </c>
      <c r="AA23" s="9"/>
      <c r="AB23" s="9"/>
      <c r="AC23" s="11"/>
      <c r="AD23" s="68">
        <v>4320</v>
      </c>
      <c r="AE23" s="10"/>
      <c r="AF23" s="10"/>
      <c r="AG23" s="68">
        <v>7000</v>
      </c>
      <c r="AH23" s="68">
        <v>27000</v>
      </c>
      <c r="AI23" s="10"/>
      <c r="AJ23" s="21"/>
      <c r="AK23" s="20"/>
      <c r="AL23" s="10"/>
      <c r="AM23" s="11"/>
      <c r="AN23" s="24"/>
      <c r="AO23" s="31"/>
      <c r="AQ23" s="9">
        <v>6500</v>
      </c>
      <c r="AR23" s="9">
        <v>1800</v>
      </c>
      <c r="AS23" s="9">
        <v>3800</v>
      </c>
      <c r="AT23" s="9">
        <v>12000</v>
      </c>
      <c r="AU23" s="9">
        <v>1900</v>
      </c>
      <c r="AV23" s="9">
        <v>3000</v>
      </c>
      <c r="AW23" s="9"/>
      <c r="AX23" s="11"/>
      <c r="AY23" s="68">
        <v>2000</v>
      </c>
      <c r="AZ23" s="68">
        <v>1490</v>
      </c>
      <c r="BA23" s="10"/>
      <c r="BB23" s="68">
        <v>2000</v>
      </c>
      <c r="BC23" s="68">
        <v>9000</v>
      </c>
      <c r="BD23" s="10"/>
      <c r="BE23" s="21"/>
      <c r="BF23" s="20"/>
      <c r="BG23" s="10"/>
      <c r="BH23" s="11"/>
      <c r="BI23" s="24"/>
      <c r="BJ23" s="31"/>
      <c r="BL23" s="9">
        <v>99500</v>
      </c>
      <c r="BM23" s="9">
        <v>2000</v>
      </c>
      <c r="BN23" s="9">
        <v>7500</v>
      </c>
      <c r="BO23" s="9">
        <v>2000</v>
      </c>
      <c r="BP23" s="9">
        <v>10000</v>
      </c>
      <c r="BQ23" s="9"/>
      <c r="BR23" s="9"/>
      <c r="BS23" s="11"/>
      <c r="BT23" s="68">
        <v>6250</v>
      </c>
      <c r="BU23" s="10"/>
      <c r="BV23" s="10"/>
      <c r="BW23" s="68">
        <v>28000</v>
      </c>
      <c r="BX23" s="68">
        <v>1500</v>
      </c>
      <c r="BY23" s="10"/>
      <c r="BZ23" s="21"/>
      <c r="CA23" s="20"/>
      <c r="CB23" s="10"/>
      <c r="CC23" s="11"/>
      <c r="CD23" s="24"/>
      <c r="CE23" s="31"/>
      <c r="CF23" s="24"/>
      <c r="CG23" s="9"/>
      <c r="CH23" s="9"/>
      <c r="CI23" s="9"/>
      <c r="CJ23" s="9"/>
      <c r="CK23" s="9"/>
      <c r="CL23" s="9"/>
      <c r="CM23" s="9"/>
      <c r="CN23" s="11"/>
      <c r="CO23" s="10"/>
      <c r="CP23" s="10"/>
      <c r="CQ23" s="10"/>
      <c r="CR23" s="10"/>
      <c r="CS23" s="21"/>
      <c r="CT23" s="20"/>
      <c r="CU23" s="10"/>
      <c r="CV23" s="11"/>
      <c r="CW23" s="24"/>
      <c r="CX23" s="31"/>
    </row>
    <row r="24" spans="1:102">
      <c r="A24" s="9">
        <v>14300</v>
      </c>
      <c r="B24" s="9">
        <v>200</v>
      </c>
      <c r="C24" s="9">
        <v>11000</v>
      </c>
      <c r="D24" s="9">
        <v>2000</v>
      </c>
      <c r="E24" s="9">
        <v>1000</v>
      </c>
      <c r="F24" s="9">
        <v>2700</v>
      </c>
      <c r="G24" s="9"/>
      <c r="H24" s="11"/>
      <c r="I24" s="68">
        <v>4000</v>
      </c>
      <c r="J24" s="68">
        <v>30000</v>
      </c>
      <c r="K24" s="68">
        <v>15500</v>
      </c>
      <c r="L24" s="68">
        <v>5000</v>
      </c>
      <c r="M24" s="68">
        <v>12000</v>
      </c>
      <c r="N24" s="68">
        <v>4800</v>
      </c>
      <c r="O24" s="21"/>
      <c r="P24" s="20"/>
      <c r="Q24" s="10"/>
      <c r="R24" s="11"/>
      <c r="S24" s="24"/>
      <c r="T24" s="24"/>
      <c r="U24" s="24"/>
      <c r="V24" s="9">
        <v>1000</v>
      </c>
      <c r="W24" s="9">
        <v>5000</v>
      </c>
      <c r="X24" s="9">
        <v>500</v>
      </c>
      <c r="Y24" s="9">
        <v>10000</v>
      </c>
      <c r="Z24" s="9">
        <v>1000</v>
      </c>
      <c r="AA24" s="9"/>
      <c r="AB24" s="9"/>
      <c r="AC24" s="11"/>
      <c r="AD24" s="68">
        <v>22000</v>
      </c>
      <c r="AE24" s="10"/>
      <c r="AF24" s="10"/>
      <c r="AG24" s="68">
        <v>54000</v>
      </c>
      <c r="AH24" s="68">
        <v>13500</v>
      </c>
      <c r="AI24" s="10"/>
      <c r="AJ24" s="21"/>
      <c r="AK24" s="20"/>
      <c r="AL24" s="10"/>
      <c r="AM24" s="11"/>
      <c r="AN24" s="24"/>
      <c r="AO24" s="24"/>
      <c r="AQ24" s="9">
        <v>12000</v>
      </c>
      <c r="AR24" s="9">
        <v>1000</v>
      </c>
      <c r="AS24" s="9">
        <v>9000</v>
      </c>
      <c r="AT24" s="9">
        <v>7000</v>
      </c>
      <c r="AU24" s="9">
        <v>5000</v>
      </c>
      <c r="AV24" s="9">
        <v>3000</v>
      </c>
      <c r="AW24" s="9"/>
      <c r="AX24" s="11"/>
      <c r="AY24" s="68">
        <v>123480</v>
      </c>
      <c r="AZ24" s="68">
        <v>9130</v>
      </c>
      <c r="BA24" s="10"/>
      <c r="BB24" s="68">
        <v>7800</v>
      </c>
      <c r="BC24" s="68">
        <v>4000</v>
      </c>
      <c r="BD24" s="10"/>
      <c r="BE24" s="21"/>
      <c r="BF24" s="20"/>
      <c r="BG24" s="10"/>
      <c r="BH24" s="11"/>
      <c r="BI24" s="24"/>
      <c r="BJ24" s="24"/>
      <c r="BL24" s="9">
        <v>3000</v>
      </c>
      <c r="BM24" s="9">
        <v>19100</v>
      </c>
      <c r="BN24" s="9">
        <v>3500</v>
      </c>
      <c r="BO24" s="9">
        <v>6000</v>
      </c>
      <c r="BP24" s="9">
        <v>2300</v>
      </c>
      <c r="BQ24" s="9"/>
      <c r="BR24" s="9"/>
      <c r="BS24" s="11"/>
      <c r="BT24" s="68">
        <v>37950</v>
      </c>
      <c r="BU24" s="10"/>
      <c r="BV24" s="10"/>
      <c r="BW24" s="68">
        <v>55000</v>
      </c>
      <c r="BX24" s="68">
        <v>76000</v>
      </c>
      <c r="BY24" s="10"/>
      <c r="BZ24" s="21"/>
      <c r="CA24" s="20"/>
      <c r="CB24" s="10"/>
      <c r="CC24" s="11"/>
      <c r="CD24" s="24"/>
      <c r="CE24" s="24"/>
      <c r="CF24" s="24"/>
      <c r="CG24" s="9"/>
      <c r="CH24" s="9"/>
      <c r="CI24" s="9"/>
      <c r="CJ24" s="9"/>
      <c r="CK24" s="9"/>
      <c r="CL24" s="9"/>
      <c r="CM24" s="9"/>
      <c r="CN24" s="11"/>
      <c r="CO24" s="10"/>
      <c r="CP24" s="10"/>
      <c r="CQ24" s="10"/>
      <c r="CR24" s="10"/>
      <c r="CS24" s="21"/>
      <c r="CT24" s="20"/>
      <c r="CU24" s="10"/>
      <c r="CV24" s="11"/>
      <c r="CW24" s="24"/>
      <c r="CX24" s="24"/>
    </row>
    <row r="25" spans="1:102">
      <c r="A25" s="9">
        <v>14000</v>
      </c>
      <c r="B25" s="9">
        <v>8000</v>
      </c>
      <c r="C25" s="9">
        <v>2000</v>
      </c>
      <c r="D25" s="9">
        <v>17500</v>
      </c>
      <c r="E25" s="9">
        <v>2900</v>
      </c>
      <c r="F25" s="9">
        <v>4500</v>
      </c>
      <c r="G25" s="9"/>
      <c r="H25" s="11"/>
      <c r="I25" s="68">
        <v>1800</v>
      </c>
      <c r="J25" s="68">
        <v>5000</v>
      </c>
      <c r="K25" s="68">
        <v>5540</v>
      </c>
      <c r="L25" s="68">
        <v>5000</v>
      </c>
      <c r="M25" s="68">
        <v>1000</v>
      </c>
      <c r="N25" s="68"/>
      <c r="O25" s="21"/>
      <c r="P25" s="20"/>
      <c r="Q25" s="10"/>
      <c r="R25" s="11"/>
      <c r="S25" s="24"/>
      <c r="T25" s="24"/>
      <c r="U25" s="24"/>
      <c r="V25" s="9">
        <v>12000</v>
      </c>
      <c r="W25" s="9">
        <v>4000</v>
      </c>
      <c r="X25" s="9">
        <v>19300</v>
      </c>
      <c r="Y25" s="9">
        <v>2000</v>
      </c>
      <c r="Z25" s="9">
        <v>4500</v>
      </c>
      <c r="AA25" s="9"/>
      <c r="AB25" s="9"/>
      <c r="AC25" s="11"/>
      <c r="AD25" s="68">
        <v>4600</v>
      </c>
      <c r="AE25" s="10"/>
      <c r="AF25" s="10"/>
      <c r="AG25" s="68">
        <v>4500</v>
      </c>
      <c r="AH25" s="68">
        <v>4500</v>
      </c>
      <c r="AI25" s="10"/>
      <c r="AJ25" s="21"/>
      <c r="AK25" s="20"/>
      <c r="AL25" s="10"/>
      <c r="AM25" s="11"/>
      <c r="AN25" s="24"/>
      <c r="AO25" s="24"/>
      <c r="AQ25" s="9">
        <v>3000</v>
      </c>
      <c r="AR25" s="9">
        <v>28500</v>
      </c>
      <c r="AS25" s="9">
        <v>600</v>
      </c>
      <c r="AT25" s="9">
        <v>300</v>
      </c>
      <c r="AU25" s="9">
        <v>4000</v>
      </c>
      <c r="AV25" s="9">
        <v>10000</v>
      </c>
      <c r="AW25" s="9"/>
      <c r="AX25" s="11"/>
      <c r="AY25" s="68">
        <v>3500</v>
      </c>
      <c r="AZ25" s="68">
        <v>10890</v>
      </c>
      <c r="BA25" s="10"/>
      <c r="BB25" s="68">
        <v>8000</v>
      </c>
      <c r="BC25" s="68">
        <v>1000</v>
      </c>
      <c r="BD25" s="10"/>
      <c r="BE25" s="21"/>
      <c r="BF25" s="20"/>
      <c r="BG25" s="10"/>
      <c r="BH25" s="11"/>
      <c r="BI25" s="24"/>
      <c r="BJ25" s="24"/>
      <c r="BL25" s="9">
        <v>4000</v>
      </c>
      <c r="BM25" s="9">
        <v>3000</v>
      </c>
      <c r="BN25" s="9">
        <v>5500</v>
      </c>
      <c r="BO25" s="9">
        <v>16000</v>
      </c>
      <c r="BP25" s="9">
        <v>8000</v>
      </c>
      <c r="BQ25" s="9"/>
      <c r="BR25" s="9"/>
      <c r="BS25" s="11"/>
      <c r="BT25" s="68">
        <v>3360</v>
      </c>
      <c r="BU25" s="10"/>
      <c r="BV25" s="10"/>
      <c r="BW25" s="68">
        <v>10000</v>
      </c>
      <c r="BX25" s="68">
        <v>8500</v>
      </c>
      <c r="BY25" s="10"/>
      <c r="BZ25" s="21"/>
      <c r="CA25" s="20"/>
      <c r="CB25" s="10"/>
      <c r="CC25" s="11"/>
      <c r="CD25" s="24"/>
      <c r="CE25" s="24"/>
      <c r="CF25" s="24"/>
      <c r="CG25" s="9"/>
      <c r="CH25" s="9"/>
      <c r="CI25" s="9"/>
      <c r="CJ25" s="9"/>
      <c r="CK25" s="9"/>
      <c r="CL25" s="9"/>
      <c r="CM25" s="9"/>
      <c r="CN25" s="11"/>
      <c r="CO25" s="10"/>
      <c r="CP25" s="10"/>
      <c r="CQ25" s="10"/>
      <c r="CR25" s="10"/>
      <c r="CS25" s="21"/>
      <c r="CT25" s="20"/>
      <c r="CU25" s="10"/>
      <c r="CV25" s="11"/>
      <c r="CW25" s="24"/>
      <c r="CX25" s="24"/>
    </row>
    <row r="26" spans="1:102">
      <c r="A26" s="9">
        <v>2000</v>
      </c>
      <c r="B26" s="9">
        <v>4000</v>
      </c>
      <c r="C26" s="9">
        <v>17000</v>
      </c>
      <c r="D26" s="9">
        <v>1000</v>
      </c>
      <c r="E26" s="9">
        <v>4500</v>
      </c>
      <c r="F26" s="9">
        <v>750</v>
      </c>
      <c r="G26" s="9"/>
      <c r="H26" s="11"/>
      <c r="I26" s="68">
        <v>10000</v>
      </c>
      <c r="J26" s="68">
        <v>17500</v>
      </c>
      <c r="K26" s="68">
        <v>17300</v>
      </c>
      <c r="L26" s="68">
        <v>86000</v>
      </c>
      <c r="M26" s="68">
        <v>24700</v>
      </c>
      <c r="N26" s="68"/>
      <c r="O26" s="21"/>
      <c r="P26" s="20"/>
      <c r="Q26" s="10"/>
      <c r="R26" s="11"/>
      <c r="S26" s="24"/>
      <c r="T26" s="24"/>
      <c r="U26" s="24"/>
      <c r="V26" s="9">
        <v>1000</v>
      </c>
      <c r="W26" s="9">
        <v>1500</v>
      </c>
      <c r="X26" s="9">
        <v>5000</v>
      </c>
      <c r="Y26" s="9">
        <v>9000</v>
      </c>
      <c r="Z26" s="9">
        <v>800</v>
      </c>
      <c r="AA26" s="9"/>
      <c r="AB26" s="9"/>
      <c r="AC26" s="11"/>
      <c r="AD26" s="68">
        <v>4800</v>
      </c>
      <c r="AE26" s="10"/>
      <c r="AF26" s="10"/>
      <c r="AG26" s="68">
        <v>5000</v>
      </c>
      <c r="AH26" s="68">
        <v>23500</v>
      </c>
      <c r="AI26" s="10"/>
      <c r="AJ26" s="21"/>
      <c r="AK26" s="20"/>
      <c r="AL26" s="10"/>
      <c r="AM26" s="11"/>
      <c r="AN26" s="24"/>
      <c r="AO26" s="24"/>
      <c r="AQ26" s="9">
        <v>2500</v>
      </c>
      <c r="AR26" s="9">
        <v>1000</v>
      </c>
      <c r="AS26" s="9">
        <v>6500</v>
      </c>
      <c r="AT26" s="9">
        <v>3500</v>
      </c>
      <c r="AU26" s="9">
        <v>11500</v>
      </c>
      <c r="AV26" s="9">
        <v>10000</v>
      </c>
      <c r="AW26" s="9"/>
      <c r="AX26" s="11"/>
      <c r="AY26" s="68">
        <v>18250</v>
      </c>
      <c r="AZ26" s="68">
        <v>22360</v>
      </c>
      <c r="BA26" s="10"/>
      <c r="BB26" s="68">
        <v>2000</v>
      </c>
      <c r="BC26" s="68">
        <v>1600</v>
      </c>
      <c r="BD26" s="10"/>
      <c r="BE26" s="21"/>
      <c r="BF26" s="20"/>
      <c r="BG26" s="10"/>
      <c r="BH26" s="11"/>
      <c r="BI26" s="24"/>
      <c r="BJ26" s="24"/>
      <c r="BL26" s="9">
        <v>3000</v>
      </c>
      <c r="BM26" s="9">
        <v>1600</v>
      </c>
      <c r="BN26" s="9">
        <v>18000</v>
      </c>
      <c r="BO26" s="9">
        <v>1500</v>
      </c>
      <c r="BP26" s="9">
        <v>4500</v>
      </c>
      <c r="BQ26" s="9"/>
      <c r="BR26" s="9"/>
      <c r="BS26" s="11"/>
      <c r="BT26" s="68">
        <v>11090</v>
      </c>
      <c r="BU26" s="10"/>
      <c r="BV26" s="10"/>
      <c r="BW26" s="68">
        <v>4600</v>
      </c>
      <c r="BX26" s="68">
        <v>3000</v>
      </c>
      <c r="BY26" s="10"/>
      <c r="BZ26" s="21"/>
      <c r="CA26" s="20"/>
      <c r="CB26" s="10"/>
      <c r="CC26" s="11"/>
      <c r="CD26" s="24"/>
      <c r="CE26" s="24"/>
      <c r="CF26" s="24"/>
      <c r="CG26" s="9"/>
      <c r="CH26" s="9"/>
      <c r="CI26" s="9"/>
      <c r="CJ26" s="9"/>
      <c r="CK26" s="9"/>
      <c r="CL26" s="9"/>
      <c r="CM26" s="9"/>
      <c r="CN26" s="11"/>
      <c r="CO26" s="10"/>
      <c r="CP26" s="10"/>
      <c r="CQ26" s="10"/>
      <c r="CR26" s="10"/>
      <c r="CS26" s="21"/>
      <c r="CT26" s="20"/>
      <c r="CU26" s="10"/>
      <c r="CV26" s="11"/>
      <c r="CW26" s="24"/>
      <c r="CX26" s="24"/>
    </row>
    <row r="27" spans="1:102">
      <c r="A27" s="9">
        <v>36000</v>
      </c>
      <c r="B27" s="9">
        <v>1000</v>
      </c>
      <c r="C27" s="9">
        <v>5000</v>
      </c>
      <c r="D27" s="9">
        <v>9350</v>
      </c>
      <c r="E27" s="9">
        <v>500</v>
      </c>
      <c r="F27" s="9">
        <v>1000</v>
      </c>
      <c r="G27" s="9"/>
      <c r="H27" s="11"/>
      <c r="I27" s="68">
        <v>3500</v>
      </c>
      <c r="J27" s="68">
        <v>12010</v>
      </c>
      <c r="K27" s="68">
        <v>5960</v>
      </c>
      <c r="L27" s="68">
        <v>12000</v>
      </c>
      <c r="M27" s="68">
        <v>9000</v>
      </c>
      <c r="N27" s="68"/>
      <c r="O27" s="21"/>
      <c r="P27" s="20"/>
      <c r="Q27" s="10"/>
      <c r="R27" s="11"/>
      <c r="S27" s="24"/>
      <c r="T27" s="24"/>
      <c r="U27" s="24"/>
      <c r="V27" s="9">
        <v>34600</v>
      </c>
      <c r="W27" s="9">
        <v>1500</v>
      </c>
      <c r="X27" s="9">
        <v>14000</v>
      </c>
      <c r="Y27" s="9">
        <v>6000</v>
      </c>
      <c r="Z27" s="9">
        <v>500</v>
      </c>
      <c r="AA27" s="9"/>
      <c r="AB27" s="9"/>
      <c r="AC27" s="11"/>
      <c r="AD27" s="68">
        <v>4320</v>
      </c>
      <c r="AE27" s="10"/>
      <c r="AF27" s="10"/>
      <c r="AG27" s="68">
        <v>10000</v>
      </c>
      <c r="AH27" s="68">
        <v>2500</v>
      </c>
      <c r="AI27" s="10"/>
      <c r="AJ27" s="21"/>
      <c r="AK27" s="20"/>
      <c r="AL27" s="10"/>
      <c r="AM27" s="11"/>
      <c r="AN27" s="24"/>
      <c r="AO27" s="24"/>
      <c r="AQ27" s="9">
        <v>4300</v>
      </c>
      <c r="AR27" s="9">
        <v>9300</v>
      </c>
      <c r="AS27" s="9">
        <v>4500</v>
      </c>
      <c r="AT27" s="9">
        <v>4500</v>
      </c>
      <c r="AU27" s="9">
        <v>3000</v>
      </c>
      <c r="AV27" s="9">
        <v>200</v>
      </c>
      <c r="AW27" s="9"/>
      <c r="AX27" s="11"/>
      <c r="AY27" s="68">
        <v>2500</v>
      </c>
      <c r="AZ27" s="68">
        <v>10400</v>
      </c>
      <c r="BA27" s="10"/>
      <c r="BB27" s="68">
        <v>9750</v>
      </c>
      <c r="BC27" s="68">
        <v>8000</v>
      </c>
      <c r="BD27" s="10"/>
      <c r="BE27" s="21"/>
      <c r="BF27" s="20"/>
      <c r="BG27" s="10"/>
      <c r="BH27" s="11"/>
      <c r="BI27" s="24"/>
      <c r="BJ27" s="24"/>
      <c r="BL27" s="9">
        <v>300</v>
      </c>
      <c r="BM27" s="9">
        <v>10000</v>
      </c>
      <c r="BN27" s="9">
        <v>14500</v>
      </c>
      <c r="BO27" s="9">
        <v>7000</v>
      </c>
      <c r="BP27" s="9">
        <v>6000</v>
      </c>
      <c r="BQ27" s="9"/>
      <c r="BR27" s="9"/>
      <c r="BS27" s="11"/>
      <c r="BT27" s="68">
        <v>12010</v>
      </c>
      <c r="BU27" s="10"/>
      <c r="BV27" s="10"/>
      <c r="BW27" s="68">
        <v>8000</v>
      </c>
      <c r="BX27" s="68">
        <v>34500</v>
      </c>
      <c r="BY27" s="10"/>
      <c r="BZ27" s="21"/>
      <c r="CA27" s="20"/>
      <c r="CB27" s="10"/>
      <c r="CC27" s="11"/>
      <c r="CD27" s="24"/>
      <c r="CE27" s="24"/>
      <c r="CF27" s="24"/>
      <c r="CG27" s="9"/>
      <c r="CH27" s="9"/>
      <c r="CI27" s="9"/>
      <c r="CJ27" s="9"/>
      <c r="CK27" s="9"/>
      <c r="CL27" s="9"/>
      <c r="CM27" s="9"/>
      <c r="CN27" s="11"/>
      <c r="CO27" s="10"/>
      <c r="CP27" s="10"/>
      <c r="CQ27" s="10"/>
      <c r="CR27" s="10"/>
      <c r="CS27" s="21"/>
      <c r="CT27" s="20"/>
      <c r="CU27" s="10"/>
      <c r="CV27" s="11"/>
      <c r="CW27" s="24"/>
      <c r="CX27" s="24"/>
    </row>
    <row r="28" spans="1:102">
      <c r="A28" s="9">
        <v>2000</v>
      </c>
      <c r="B28" s="9">
        <v>25000</v>
      </c>
      <c r="C28" s="9">
        <v>2800</v>
      </c>
      <c r="D28" s="9">
        <v>8000</v>
      </c>
      <c r="E28" s="9">
        <v>35000</v>
      </c>
      <c r="F28" s="9">
        <v>10000</v>
      </c>
      <c r="G28" s="9"/>
      <c r="H28" s="11"/>
      <c r="I28" s="68">
        <v>14600</v>
      </c>
      <c r="J28" s="68">
        <v>7970</v>
      </c>
      <c r="K28" s="68">
        <v>13450</v>
      </c>
      <c r="L28" s="68">
        <v>5500</v>
      </c>
      <c r="M28" s="68">
        <v>3000</v>
      </c>
      <c r="N28" s="68"/>
      <c r="O28" s="21"/>
      <c r="P28" s="20"/>
      <c r="Q28" s="10"/>
      <c r="R28" s="11"/>
      <c r="S28" s="24"/>
      <c r="T28" s="34"/>
      <c r="U28" s="24"/>
      <c r="V28" s="9">
        <v>7500</v>
      </c>
      <c r="W28" s="9">
        <v>2000</v>
      </c>
      <c r="X28" s="9">
        <v>15600</v>
      </c>
      <c r="Y28" s="9">
        <v>6500</v>
      </c>
      <c r="Z28" s="9">
        <v>8500</v>
      </c>
      <c r="AA28" s="9"/>
      <c r="AB28" s="9"/>
      <c r="AC28" s="11"/>
      <c r="AD28" s="68">
        <v>6240</v>
      </c>
      <c r="AE28" s="10"/>
      <c r="AF28" s="10"/>
      <c r="AG28" s="68">
        <v>5000</v>
      </c>
      <c r="AH28" s="68">
        <v>11000</v>
      </c>
      <c r="AI28" s="10"/>
      <c r="AJ28" s="21"/>
      <c r="AK28" s="20"/>
      <c r="AL28" s="10"/>
      <c r="AM28" s="11"/>
      <c r="AN28" s="24"/>
      <c r="AO28" s="34"/>
      <c r="AQ28" s="9">
        <v>4000</v>
      </c>
      <c r="AR28" s="9">
        <v>4000</v>
      </c>
      <c r="AS28" s="9">
        <v>8500</v>
      </c>
      <c r="AT28" s="9">
        <v>40000</v>
      </c>
      <c r="AU28" s="9">
        <v>800</v>
      </c>
      <c r="AV28" s="9">
        <v>13500</v>
      </c>
      <c r="AW28" s="9"/>
      <c r="AX28" s="11"/>
      <c r="AY28" s="68">
        <v>12500</v>
      </c>
      <c r="AZ28" s="68">
        <v>20000</v>
      </c>
      <c r="BA28" s="10"/>
      <c r="BB28" s="68">
        <v>16500</v>
      </c>
      <c r="BC28" s="68">
        <v>500</v>
      </c>
      <c r="BD28" s="10"/>
      <c r="BE28" s="21"/>
      <c r="BF28" s="20"/>
      <c r="BG28" s="10"/>
      <c r="BH28" s="11"/>
      <c r="BI28" s="24"/>
      <c r="BJ28" s="34"/>
      <c r="BL28" s="9">
        <v>200</v>
      </c>
      <c r="BM28" s="9">
        <v>6700</v>
      </c>
      <c r="BN28" s="9">
        <v>10000</v>
      </c>
      <c r="BO28" s="9">
        <v>1600</v>
      </c>
      <c r="BP28" s="9">
        <v>1200</v>
      </c>
      <c r="BQ28" s="9"/>
      <c r="BR28" s="9"/>
      <c r="BS28" s="11"/>
      <c r="BT28" s="68">
        <v>5770</v>
      </c>
      <c r="BU28" s="10"/>
      <c r="BV28" s="10"/>
      <c r="BW28" s="68">
        <v>38000</v>
      </c>
      <c r="BX28" s="68">
        <v>80000</v>
      </c>
      <c r="BY28" s="10"/>
      <c r="BZ28" s="21"/>
      <c r="CA28" s="20"/>
      <c r="CB28" s="10"/>
      <c r="CC28" s="11"/>
      <c r="CD28" s="24"/>
      <c r="CE28" s="34"/>
      <c r="CF28" s="24"/>
      <c r="CG28" s="9"/>
      <c r="CH28" s="9"/>
      <c r="CI28" s="9"/>
      <c r="CJ28" s="9"/>
      <c r="CK28" s="9"/>
      <c r="CL28" s="9"/>
      <c r="CM28" s="9"/>
      <c r="CN28" s="11"/>
      <c r="CO28" s="10"/>
      <c r="CP28" s="10"/>
      <c r="CQ28" s="10"/>
      <c r="CR28" s="10"/>
      <c r="CS28" s="21"/>
      <c r="CT28" s="20"/>
      <c r="CU28" s="10"/>
      <c r="CV28" s="11"/>
      <c r="CW28" s="24"/>
      <c r="CX28" s="34"/>
    </row>
    <row r="29" spans="1:102">
      <c r="A29" s="9">
        <v>3000</v>
      </c>
      <c r="B29" s="9">
        <v>6500</v>
      </c>
      <c r="C29" s="9">
        <v>2000</v>
      </c>
      <c r="D29" s="9">
        <v>8000</v>
      </c>
      <c r="E29" s="9">
        <v>2100</v>
      </c>
      <c r="F29" s="9">
        <v>3500</v>
      </c>
      <c r="G29" s="9"/>
      <c r="H29" s="11"/>
      <c r="I29" s="68">
        <v>4000</v>
      </c>
      <c r="J29" s="68">
        <v>7690</v>
      </c>
      <c r="K29" s="68">
        <v>69540</v>
      </c>
      <c r="L29" s="68">
        <v>6450</v>
      </c>
      <c r="M29" s="68">
        <v>500</v>
      </c>
      <c r="N29" s="68"/>
      <c r="O29" s="21"/>
      <c r="P29" s="20"/>
      <c r="Q29" s="10"/>
      <c r="R29" s="11"/>
      <c r="S29" s="24"/>
      <c r="T29" s="24"/>
      <c r="U29" s="24"/>
      <c r="V29" s="9">
        <v>28500</v>
      </c>
      <c r="W29" s="9">
        <v>6000</v>
      </c>
      <c r="X29" s="9">
        <v>5500</v>
      </c>
      <c r="Y29" s="9">
        <v>3600</v>
      </c>
      <c r="Z29" s="9">
        <v>4000</v>
      </c>
      <c r="AA29" s="9"/>
      <c r="AB29" s="9"/>
      <c r="AC29" s="11"/>
      <c r="AD29" s="68">
        <v>4800</v>
      </c>
      <c r="AE29" s="10"/>
      <c r="AF29" s="10"/>
      <c r="AG29" s="68">
        <v>3100</v>
      </c>
      <c r="AH29" s="68">
        <v>10000</v>
      </c>
      <c r="AI29" s="10"/>
      <c r="AJ29" s="21"/>
      <c r="AK29" s="20"/>
      <c r="AL29" s="10"/>
      <c r="AM29" s="11"/>
      <c r="AN29" s="24"/>
      <c r="AO29" s="24"/>
      <c r="AQ29" s="9">
        <v>5500</v>
      </c>
      <c r="AR29" s="9">
        <v>18000</v>
      </c>
      <c r="AS29" s="9">
        <v>7000</v>
      </c>
      <c r="AT29" s="9">
        <v>10000</v>
      </c>
      <c r="AU29" s="9">
        <v>23000</v>
      </c>
      <c r="AV29" s="9">
        <v>40000</v>
      </c>
      <c r="AW29" s="9"/>
      <c r="AX29" s="11"/>
      <c r="AY29" s="68">
        <v>2400</v>
      </c>
      <c r="AZ29" s="68">
        <v>2000</v>
      </c>
      <c r="BA29" s="10"/>
      <c r="BB29" s="68">
        <v>9000</v>
      </c>
      <c r="BC29" s="68">
        <v>1700</v>
      </c>
      <c r="BD29" s="10"/>
      <c r="BE29" s="21"/>
      <c r="BF29" s="20"/>
      <c r="BG29" s="10"/>
      <c r="BH29" s="11"/>
      <c r="BI29" s="24"/>
      <c r="BJ29" s="24"/>
      <c r="BL29" s="9">
        <v>4500</v>
      </c>
      <c r="BM29" s="9">
        <v>3500</v>
      </c>
      <c r="BN29" s="9">
        <v>55000</v>
      </c>
      <c r="BO29" s="9">
        <v>3200</v>
      </c>
      <c r="BP29" s="9">
        <v>31000</v>
      </c>
      <c r="BQ29" s="9"/>
      <c r="BR29" s="9"/>
      <c r="BS29" s="11"/>
      <c r="BT29" s="68">
        <v>7200</v>
      </c>
      <c r="BU29" s="10"/>
      <c r="BV29" s="10"/>
      <c r="BW29" s="68">
        <v>800</v>
      </c>
      <c r="BX29" s="68">
        <v>5000</v>
      </c>
      <c r="BY29" s="10"/>
      <c r="BZ29" s="21"/>
      <c r="CA29" s="20"/>
      <c r="CB29" s="10"/>
      <c r="CC29" s="11"/>
      <c r="CD29" s="24"/>
      <c r="CE29" s="24"/>
      <c r="CF29" s="24"/>
      <c r="CG29" s="9"/>
      <c r="CH29" s="9"/>
      <c r="CI29" s="9"/>
      <c r="CJ29" s="9"/>
      <c r="CK29" s="9"/>
      <c r="CL29" s="9"/>
      <c r="CM29" s="9"/>
      <c r="CN29" s="11"/>
      <c r="CO29" s="10"/>
      <c r="CP29" s="10"/>
      <c r="CQ29" s="10"/>
      <c r="CR29" s="10"/>
      <c r="CS29" s="21"/>
      <c r="CT29" s="20"/>
      <c r="CU29" s="10"/>
      <c r="CV29" s="11"/>
      <c r="CW29" s="24"/>
      <c r="CX29" s="24"/>
    </row>
    <row r="30" spans="1:102">
      <c r="A30" s="9">
        <v>2000</v>
      </c>
      <c r="B30" s="9">
        <v>2500</v>
      </c>
      <c r="C30" s="9">
        <v>200</v>
      </c>
      <c r="D30" s="9">
        <v>10000</v>
      </c>
      <c r="E30" s="9">
        <v>6000</v>
      </c>
      <c r="F30" s="9">
        <v>2000</v>
      </c>
      <c r="G30" s="9"/>
      <c r="H30" s="11"/>
      <c r="I30" s="68">
        <v>23100</v>
      </c>
      <c r="J30" s="68">
        <v>3360</v>
      </c>
      <c r="K30" s="68">
        <v>22100</v>
      </c>
      <c r="L30" s="68">
        <v>4000</v>
      </c>
      <c r="M30" s="68">
        <v>10600</v>
      </c>
      <c r="N30" s="68"/>
      <c r="O30" s="21"/>
      <c r="P30" s="20"/>
      <c r="Q30" s="10"/>
      <c r="R30" s="11"/>
      <c r="S30" s="24"/>
      <c r="T30" s="24"/>
      <c r="U30" s="24"/>
      <c r="V30" s="9">
        <v>12000</v>
      </c>
      <c r="W30" s="9">
        <v>1500</v>
      </c>
      <c r="X30" s="9">
        <v>5500</v>
      </c>
      <c r="Y30" s="9">
        <v>1000</v>
      </c>
      <c r="Z30" s="9">
        <v>2000</v>
      </c>
      <c r="AA30" s="9"/>
      <c r="AB30" s="9"/>
      <c r="AC30" s="11"/>
      <c r="AD30" s="68">
        <v>9000</v>
      </c>
      <c r="AE30" s="10"/>
      <c r="AF30" s="10"/>
      <c r="AG30" s="68">
        <v>400</v>
      </c>
      <c r="AH30" s="68">
        <v>8000</v>
      </c>
      <c r="AI30" s="10"/>
      <c r="AJ30" s="21"/>
      <c r="AK30" s="20" t="s">
        <v>50</v>
      </c>
      <c r="AL30" s="10">
        <v>300000</v>
      </c>
      <c r="AM30" s="11"/>
      <c r="AN30" s="24"/>
      <c r="AO30" s="24"/>
      <c r="AQ30" s="9">
        <v>3500</v>
      </c>
      <c r="AR30" s="9">
        <v>2500</v>
      </c>
      <c r="AS30" s="9">
        <v>9000</v>
      </c>
      <c r="AT30" s="9">
        <v>32000</v>
      </c>
      <c r="AU30" s="9">
        <v>3000</v>
      </c>
      <c r="AV30" s="9">
        <v>17000</v>
      </c>
      <c r="AW30" s="9"/>
      <c r="AX30" s="11"/>
      <c r="AY30" s="68">
        <v>3840</v>
      </c>
      <c r="AZ30" s="68">
        <v>22000</v>
      </c>
      <c r="BA30" s="10"/>
      <c r="BB30" s="68">
        <v>47100</v>
      </c>
      <c r="BC30" s="68">
        <v>1000</v>
      </c>
      <c r="BD30" s="10"/>
      <c r="BE30" s="21"/>
      <c r="BF30" s="20"/>
      <c r="BG30" s="10"/>
      <c r="BH30" s="11"/>
      <c r="BI30" s="24"/>
      <c r="BJ30" s="24"/>
      <c r="BL30" s="9">
        <v>1600</v>
      </c>
      <c r="BM30" s="9">
        <v>3500</v>
      </c>
      <c r="BN30" s="9">
        <v>6000</v>
      </c>
      <c r="BO30" s="9">
        <v>9000</v>
      </c>
      <c r="BP30" s="9">
        <v>5500</v>
      </c>
      <c r="BQ30" s="9"/>
      <c r="BR30" s="9"/>
      <c r="BS30" s="11"/>
      <c r="BT30" s="68">
        <v>42270</v>
      </c>
      <c r="BU30" s="10"/>
      <c r="BV30" s="10"/>
      <c r="BW30" s="68">
        <v>4100</v>
      </c>
      <c r="BX30" s="68">
        <v>3000</v>
      </c>
      <c r="BY30" s="10"/>
      <c r="BZ30" s="21"/>
      <c r="CA30" s="20" t="s">
        <v>53</v>
      </c>
      <c r="CB30" s="10">
        <v>240000</v>
      </c>
      <c r="CC30" s="11"/>
      <c r="CD30" s="24"/>
      <c r="CE30" s="24"/>
      <c r="CF30" s="24"/>
      <c r="CG30" s="9"/>
      <c r="CH30" s="9"/>
      <c r="CI30" s="9"/>
      <c r="CJ30" s="9"/>
      <c r="CK30" s="9"/>
      <c r="CL30" s="9"/>
      <c r="CM30" s="9"/>
      <c r="CN30" s="11"/>
      <c r="CO30" s="10"/>
      <c r="CP30" s="10"/>
      <c r="CQ30" s="10"/>
      <c r="CR30" s="10"/>
      <c r="CS30" s="21"/>
      <c r="CT30" s="20"/>
      <c r="CU30" s="10"/>
      <c r="CV30" s="11"/>
      <c r="CW30" s="24"/>
      <c r="CX30" s="24"/>
    </row>
    <row r="31" spans="1:102">
      <c r="A31" s="9">
        <v>8500</v>
      </c>
      <c r="B31" s="9">
        <v>7500</v>
      </c>
      <c r="C31" s="9">
        <v>500</v>
      </c>
      <c r="D31" s="9">
        <v>6000</v>
      </c>
      <c r="E31" s="9">
        <v>1500</v>
      </c>
      <c r="F31" s="9">
        <v>4600</v>
      </c>
      <c r="G31" s="9"/>
      <c r="H31" s="11"/>
      <c r="I31" s="68">
        <v>22500</v>
      </c>
      <c r="J31" s="68">
        <v>19220</v>
      </c>
      <c r="K31" s="68">
        <v>4320</v>
      </c>
      <c r="L31" s="68">
        <v>4000</v>
      </c>
      <c r="M31" s="68">
        <v>3500</v>
      </c>
      <c r="N31" s="68"/>
      <c r="O31" s="21"/>
      <c r="P31" s="20"/>
      <c r="Q31" s="10"/>
      <c r="R31" s="11"/>
      <c r="S31" s="24"/>
      <c r="T31" s="24"/>
      <c r="U31" s="24"/>
      <c r="V31" s="9">
        <v>1500</v>
      </c>
      <c r="W31" s="9">
        <v>46000</v>
      </c>
      <c r="X31" s="9">
        <v>4500</v>
      </c>
      <c r="Y31" s="9">
        <v>4000</v>
      </c>
      <c r="Z31" s="9">
        <v>2500</v>
      </c>
      <c r="AA31" s="9"/>
      <c r="AB31" s="9"/>
      <c r="AC31" s="11"/>
      <c r="AD31" s="68">
        <v>6000</v>
      </c>
      <c r="AE31" s="10"/>
      <c r="AF31" s="10"/>
      <c r="AG31" s="68">
        <v>6500</v>
      </c>
      <c r="AH31" s="68">
        <v>8000</v>
      </c>
      <c r="AI31" s="10"/>
      <c r="AJ31" s="21"/>
      <c r="AK31" s="20" t="s">
        <v>53</v>
      </c>
      <c r="AL31" s="10">
        <v>30000</v>
      </c>
      <c r="AM31" s="11"/>
      <c r="AN31" s="24"/>
      <c r="AO31" s="24"/>
      <c r="AQ31" s="9">
        <v>1000</v>
      </c>
      <c r="AR31" s="9">
        <v>7000</v>
      </c>
      <c r="AS31" s="9">
        <v>6500</v>
      </c>
      <c r="AT31" s="9">
        <v>9000</v>
      </c>
      <c r="AU31" s="9">
        <v>4000</v>
      </c>
      <c r="AV31" s="9">
        <v>10000</v>
      </c>
      <c r="AW31" s="9"/>
      <c r="AX31" s="11"/>
      <c r="AY31" s="68">
        <v>6000</v>
      </c>
      <c r="AZ31" s="68">
        <v>19000</v>
      </c>
      <c r="BA31" s="10"/>
      <c r="BB31" s="68">
        <v>3000</v>
      </c>
      <c r="BC31" s="68">
        <v>500</v>
      </c>
      <c r="BD31" s="10"/>
      <c r="BE31" s="21"/>
      <c r="BF31" s="20" t="s">
        <v>50</v>
      </c>
      <c r="BG31" s="10">
        <v>300000</v>
      </c>
      <c r="BH31" s="11"/>
      <c r="BI31" s="24"/>
      <c r="BJ31" s="24"/>
      <c r="BL31" s="9">
        <v>3500</v>
      </c>
      <c r="BM31" s="9">
        <v>3300</v>
      </c>
      <c r="BN31" s="9">
        <v>33000</v>
      </c>
      <c r="BO31" s="9">
        <v>47500</v>
      </c>
      <c r="BP31" s="9">
        <v>30000</v>
      </c>
      <c r="BQ31" s="9"/>
      <c r="BR31" s="9"/>
      <c r="BS31" s="11"/>
      <c r="BT31" s="68">
        <v>12970</v>
      </c>
      <c r="BU31" s="10"/>
      <c r="BV31" s="10"/>
      <c r="BW31" s="68">
        <v>3000</v>
      </c>
      <c r="BX31" s="68">
        <v>1000</v>
      </c>
      <c r="BY31" s="10"/>
      <c r="BZ31" s="21"/>
      <c r="CA31" s="20" t="s">
        <v>53</v>
      </c>
      <c r="CB31" s="10">
        <v>60000</v>
      </c>
      <c r="CC31" s="11"/>
      <c r="CD31" s="24"/>
      <c r="CE31" s="24"/>
      <c r="CF31" s="24"/>
      <c r="CG31" s="9"/>
      <c r="CH31" s="9"/>
      <c r="CI31" s="9"/>
      <c r="CJ31" s="9"/>
      <c r="CK31" s="9"/>
      <c r="CL31" s="9"/>
      <c r="CM31" s="9"/>
      <c r="CN31" s="11"/>
      <c r="CO31" s="10"/>
      <c r="CP31" s="10"/>
      <c r="CQ31" s="10"/>
      <c r="CR31" s="10"/>
      <c r="CS31" s="21"/>
      <c r="CT31" s="20"/>
      <c r="CU31" s="10"/>
      <c r="CV31" s="11"/>
      <c r="CW31" s="24"/>
      <c r="CX31" s="24"/>
    </row>
    <row r="32" spans="1:102">
      <c r="A32" s="9">
        <v>600</v>
      </c>
      <c r="B32" s="9">
        <v>7000</v>
      </c>
      <c r="C32" s="9">
        <v>7000</v>
      </c>
      <c r="D32" s="9">
        <v>1200</v>
      </c>
      <c r="E32" s="9">
        <v>10000</v>
      </c>
      <c r="F32" s="9">
        <v>3000</v>
      </c>
      <c r="G32" s="9"/>
      <c r="H32" s="11"/>
      <c r="I32" s="68">
        <v>20000</v>
      </c>
      <c r="J32" s="68">
        <v>22580</v>
      </c>
      <c r="K32" s="68">
        <v>5400</v>
      </c>
      <c r="L32" s="68">
        <v>8000</v>
      </c>
      <c r="M32" s="68">
        <v>16000</v>
      </c>
      <c r="N32" s="68"/>
      <c r="O32" s="21"/>
      <c r="P32" s="20"/>
      <c r="Q32" s="10"/>
      <c r="R32" s="11"/>
      <c r="S32" s="24"/>
      <c r="T32" s="24"/>
      <c r="U32" s="24"/>
      <c r="V32" s="9">
        <v>4500</v>
      </c>
      <c r="W32" s="9">
        <v>600</v>
      </c>
      <c r="X32" s="9">
        <v>19000</v>
      </c>
      <c r="Y32" s="9">
        <v>4000</v>
      </c>
      <c r="Z32" s="9">
        <v>750</v>
      </c>
      <c r="AA32" s="9"/>
      <c r="AB32" s="9"/>
      <c r="AC32" s="11"/>
      <c r="AD32" s="68">
        <v>9000</v>
      </c>
      <c r="AE32" s="10"/>
      <c r="AF32" s="10"/>
      <c r="AG32" s="68">
        <v>3200</v>
      </c>
      <c r="AH32" s="68">
        <v>23000</v>
      </c>
      <c r="AI32" s="10"/>
      <c r="AJ32" s="21"/>
      <c r="AK32" s="20" t="s">
        <v>53</v>
      </c>
      <c r="AL32" s="10">
        <v>100000</v>
      </c>
      <c r="AM32" s="11"/>
      <c r="AN32" s="24"/>
      <c r="AO32" s="24"/>
      <c r="AQ32" s="9">
        <v>13000</v>
      </c>
      <c r="AR32" s="9">
        <v>2500</v>
      </c>
      <c r="AS32" s="9">
        <v>1200</v>
      </c>
      <c r="AT32" s="9">
        <v>50000</v>
      </c>
      <c r="AU32" s="9">
        <v>4500</v>
      </c>
      <c r="AV32" s="9">
        <v>3000</v>
      </c>
      <c r="AW32" s="9"/>
      <c r="AX32" s="11"/>
      <c r="AY32" s="68">
        <v>24020</v>
      </c>
      <c r="AZ32" s="68">
        <v>3500</v>
      </c>
      <c r="BA32" s="10"/>
      <c r="BB32" s="68">
        <v>7500</v>
      </c>
      <c r="BC32" s="68">
        <v>39000</v>
      </c>
      <c r="BD32" s="10"/>
      <c r="BE32" s="21"/>
      <c r="BF32" s="20" t="s">
        <v>53</v>
      </c>
      <c r="BG32" s="10">
        <v>100000</v>
      </c>
      <c r="BH32" s="11"/>
      <c r="BI32" s="24"/>
      <c r="BJ32" s="24"/>
      <c r="BL32" s="9">
        <v>8000</v>
      </c>
      <c r="BM32" s="9">
        <v>6000</v>
      </c>
      <c r="BN32" s="9">
        <v>8500</v>
      </c>
      <c r="BO32" s="9">
        <v>23000</v>
      </c>
      <c r="BP32" s="9">
        <v>25000</v>
      </c>
      <c r="BQ32" s="9"/>
      <c r="BR32" s="9"/>
      <c r="BS32" s="11"/>
      <c r="BT32" s="68">
        <v>39610</v>
      </c>
      <c r="BU32" s="10"/>
      <c r="BV32" s="10"/>
      <c r="BW32" s="68">
        <v>5000</v>
      </c>
      <c r="BX32" s="68">
        <v>3500</v>
      </c>
      <c r="BY32" s="10"/>
      <c r="BZ32" s="21"/>
      <c r="CA32" s="20" t="s">
        <v>50</v>
      </c>
      <c r="CB32" s="10">
        <v>300000</v>
      </c>
      <c r="CC32" s="11"/>
      <c r="CD32" s="24"/>
      <c r="CE32" s="24"/>
      <c r="CF32" s="24"/>
      <c r="CG32" s="9"/>
      <c r="CH32" s="9"/>
      <c r="CI32" s="9"/>
      <c r="CJ32" s="9"/>
      <c r="CK32" s="9"/>
      <c r="CL32" s="9"/>
      <c r="CM32" s="9"/>
      <c r="CN32" s="11"/>
      <c r="CO32" s="10"/>
      <c r="CP32" s="10"/>
      <c r="CQ32" s="10"/>
      <c r="CR32" s="10"/>
      <c r="CS32" s="21"/>
      <c r="CT32" s="20"/>
      <c r="CU32" s="10"/>
      <c r="CV32" s="11"/>
      <c r="CW32" s="24"/>
      <c r="CX32" s="24"/>
    </row>
    <row r="33" spans="1:102">
      <c r="A33" s="9">
        <v>4500</v>
      </c>
      <c r="B33" s="9">
        <v>2900</v>
      </c>
      <c r="C33" s="9">
        <v>5000</v>
      </c>
      <c r="D33" s="9">
        <v>18000</v>
      </c>
      <c r="E33" s="9">
        <v>9000</v>
      </c>
      <c r="F33" s="9">
        <v>50000</v>
      </c>
      <c r="G33" s="9"/>
      <c r="H33" s="11"/>
      <c r="I33" s="68">
        <v>5000</v>
      </c>
      <c r="J33" s="68">
        <v>9000</v>
      </c>
      <c r="K33" s="68">
        <v>8500</v>
      </c>
      <c r="L33" s="68">
        <v>20000</v>
      </c>
      <c r="M33" s="68">
        <v>7000</v>
      </c>
      <c r="N33" s="68"/>
      <c r="O33" s="21"/>
      <c r="P33" s="20" t="s">
        <v>50</v>
      </c>
      <c r="Q33" s="10">
        <v>300000</v>
      </c>
      <c r="R33" s="11"/>
      <c r="S33" s="24"/>
      <c r="T33" s="24"/>
      <c r="U33" s="24"/>
      <c r="V33" s="9">
        <v>9000</v>
      </c>
      <c r="W33" s="9">
        <v>3000</v>
      </c>
      <c r="X33" s="9">
        <v>4500</v>
      </c>
      <c r="Y33" s="9">
        <v>3500</v>
      </c>
      <c r="Z33" s="9">
        <v>3000</v>
      </c>
      <c r="AA33" s="9"/>
      <c r="AB33" s="9"/>
      <c r="AC33" s="11"/>
      <c r="AD33" s="68">
        <v>7110</v>
      </c>
      <c r="AE33" s="10"/>
      <c r="AF33" s="10"/>
      <c r="AG33" s="68">
        <v>2000</v>
      </c>
      <c r="AH33" s="68">
        <v>2000</v>
      </c>
      <c r="AI33" s="10"/>
      <c r="AJ33" s="21"/>
      <c r="AK33" s="20" t="s">
        <v>53</v>
      </c>
      <c r="AL33" s="10">
        <v>170000</v>
      </c>
      <c r="AM33" s="11"/>
      <c r="AN33" s="24"/>
      <c r="AO33" s="24"/>
      <c r="AQ33" s="9">
        <v>13000</v>
      </c>
      <c r="AR33" s="9">
        <v>9500</v>
      </c>
      <c r="AS33" s="9">
        <v>7500</v>
      </c>
      <c r="AT33" s="9">
        <v>2000</v>
      </c>
      <c r="AU33" s="9">
        <v>5600</v>
      </c>
      <c r="AV33" s="9">
        <v>5000</v>
      </c>
      <c r="AW33" s="9"/>
      <c r="AX33" s="11"/>
      <c r="AY33" s="68">
        <v>12100</v>
      </c>
      <c r="AZ33" s="68">
        <v>15000</v>
      </c>
      <c r="BA33" s="10"/>
      <c r="BB33" s="68">
        <v>800</v>
      </c>
      <c r="BC33" s="68">
        <v>6000</v>
      </c>
      <c r="BD33" s="10"/>
      <c r="BE33" s="21"/>
      <c r="BF33" s="20" t="s">
        <v>53</v>
      </c>
      <c r="BG33" s="10">
        <v>200000</v>
      </c>
      <c r="BH33" s="11"/>
      <c r="BI33" s="24"/>
      <c r="BJ33" s="24"/>
      <c r="BL33" s="9">
        <v>250</v>
      </c>
      <c r="BM33" s="9">
        <v>450</v>
      </c>
      <c r="BN33" s="9">
        <v>4700</v>
      </c>
      <c r="BO33" s="9">
        <v>9000</v>
      </c>
      <c r="BP33" s="9">
        <v>1600</v>
      </c>
      <c r="BQ33" s="9"/>
      <c r="BR33" s="9"/>
      <c r="BS33" s="11"/>
      <c r="BT33" s="68">
        <v>50100</v>
      </c>
      <c r="BU33" s="10"/>
      <c r="BV33" s="10"/>
      <c r="BW33" s="68">
        <v>3600</v>
      </c>
      <c r="BX33" s="68">
        <v>3500</v>
      </c>
      <c r="BY33" s="10"/>
      <c r="BZ33" s="21"/>
      <c r="CA33" s="20"/>
      <c r="CB33" s="10"/>
      <c r="CC33" s="11"/>
      <c r="CD33" s="24"/>
      <c r="CE33" s="24"/>
      <c r="CF33" s="24"/>
      <c r="CG33" s="9"/>
      <c r="CH33" s="9"/>
      <c r="CI33" s="9"/>
      <c r="CJ33" s="9"/>
      <c r="CK33" s="9"/>
      <c r="CL33" s="9"/>
      <c r="CM33" s="9"/>
      <c r="CN33" s="11"/>
      <c r="CO33" s="10"/>
      <c r="CP33" s="10"/>
      <c r="CQ33" s="10"/>
      <c r="CR33" s="10"/>
      <c r="CS33" s="21"/>
      <c r="CT33" s="20"/>
      <c r="CU33" s="10"/>
      <c r="CV33" s="11"/>
      <c r="CW33" s="24"/>
      <c r="CX33" s="24"/>
    </row>
    <row r="34" spans="1:102">
      <c r="A34" s="9">
        <v>6000</v>
      </c>
      <c r="B34" s="9">
        <v>900</v>
      </c>
      <c r="C34" s="9">
        <v>2500</v>
      </c>
      <c r="D34" s="9">
        <v>5500</v>
      </c>
      <c r="E34" s="9">
        <v>1600</v>
      </c>
      <c r="F34" s="9">
        <v>2000</v>
      </c>
      <c r="G34" s="9"/>
      <c r="H34" s="11"/>
      <c r="I34" s="68">
        <v>1600</v>
      </c>
      <c r="J34" s="68">
        <v>13000</v>
      </c>
      <c r="K34" s="68">
        <v>6600</v>
      </c>
      <c r="L34" s="68">
        <v>8000</v>
      </c>
      <c r="M34" s="68">
        <v>800</v>
      </c>
      <c r="N34" s="68"/>
      <c r="O34" s="21"/>
      <c r="P34" s="20" t="s">
        <v>53</v>
      </c>
      <c r="Q34" s="10">
        <v>300000</v>
      </c>
      <c r="R34" s="11"/>
      <c r="S34" s="24"/>
      <c r="T34" s="34"/>
      <c r="U34" s="24"/>
      <c r="V34" s="9">
        <v>46500</v>
      </c>
      <c r="W34" s="9">
        <v>1500</v>
      </c>
      <c r="X34" s="9">
        <v>3500</v>
      </c>
      <c r="Y34" s="9">
        <v>4500</v>
      </c>
      <c r="Z34" s="9">
        <v>600</v>
      </c>
      <c r="AA34" s="9"/>
      <c r="AB34" s="9"/>
      <c r="AC34" s="11"/>
      <c r="AD34" s="68">
        <v>6500</v>
      </c>
      <c r="AE34" s="10"/>
      <c r="AF34" s="10"/>
      <c r="AG34" s="68">
        <v>14000</v>
      </c>
      <c r="AH34" s="68">
        <v>4500</v>
      </c>
      <c r="AI34" s="10"/>
      <c r="AJ34" s="21"/>
      <c r="AK34" s="20"/>
      <c r="AL34" s="10"/>
      <c r="AM34" s="11"/>
      <c r="AN34" s="24"/>
      <c r="AO34" s="34"/>
      <c r="AQ34" s="9">
        <v>7000</v>
      </c>
      <c r="AR34" s="9">
        <v>4000</v>
      </c>
      <c r="AS34" s="9">
        <v>18500</v>
      </c>
      <c r="AT34" s="9">
        <v>8000</v>
      </c>
      <c r="AU34" s="9">
        <v>2500</v>
      </c>
      <c r="AV34" s="9">
        <v>500</v>
      </c>
      <c r="AW34" s="9"/>
      <c r="AX34" s="11"/>
      <c r="AY34" s="68">
        <v>4160</v>
      </c>
      <c r="AZ34" s="68">
        <v>5000</v>
      </c>
      <c r="BA34" s="10"/>
      <c r="BB34" s="68">
        <v>6350</v>
      </c>
      <c r="BC34" s="68">
        <v>4000</v>
      </c>
      <c r="BD34" s="10"/>
      <c r="BE34" s="21"/>
      <c r="BF34" s="20"/>
      <c r="BG34" s="10"/>
      <c r="BH34" s="11"/>
      <c r="BI34" s="24"/>
      <c r="BJ34" s="34"/>
      <c r="BL34" s="9">
        <v>400</v>
      </c>
      <c r="BM34" s="9">
        <v>6000</v>
      </c>
      <c r="BN34" s="9">
        <v>800</v>
      </c>
      <c r="BO34" s="9">
        <v>3000</v>
      </c>
      <c r="BP34" s="9">
        <v>4250</v>
      </c>
      <c r="BQ34" s="9"/>
      <c r="BR34" s="9"/>
      <c r="BS34" s="11"/>
      <c r="BT34" s="68">
        <v>8960</v>
      </c>
      <c r="BU34" s="10"/>
      <c r="BV34" s="10"/>
      <c r="BW34" s="68">
        <v>4300</v>
      </c>
      <c r="BX34" s="68">
        <v>4500</v>
      </c>
      <c r="BY34" s="10"/>
      <c r="BZ34" s="21"/>
      <c r="CA34" s="20"/>
      <c r="CB34" s="10"/>
      <c r="CC34" s="11"/>
      <c r="CD34" s="24"/>
      <c r="CE34" s="34"/>
      <c r="CF34" s="24"/>
      <c r="CG34" s="9"/>
      <c r="CH34" s="9"/>
      <c r="CI34" s="9"/>
      <c r="CJ34" s="9"/>
      <c r="CK34" s="9"/>
      <c r="CL34" s="9"/>
      <c r="CM34" s="9"/>
      <c r="CN34" s="11"/>
      <c r="CO34" s="10"/>
      <c r="CP34" s="10"/>
      <c r="CQ34" s="10"/>
      <c r="CR34" s="10"/>
      <c r="CS34" s="21"/>
      <c r="CT34" s="20"/>
      <c r="CU34" s="10"/>
      <c r="CV34" s="11"/>
      <c r="CW34" s="24"/>
      <c r="CX34" s="34"/>
    </row>
    <row r="35" spans="1:102">
      <c r="A35" s="9">
        <v>7000</v>
      </c>
      <c r="B35" s="9">
        <v>5500</v>
      </c>
      <c r="C35" s="9">
        <v>4500</v>
      </c>
      <c r="D35" s="9">
        <v>800</v>
      </c>
      <c r="E35" s="9">
        <v>79000</v>
      </c>
      <c r="F35" s="9">
        <v>8900</v>
      </c>
      <c r="G35" s="9"/>
      <c r="H35" s="11"/>
      <c r="I35" s="68">
        <v>1800</v>
      </c>
      <c r="J35" s="68">
        <v>10000</v>
      </c>
      <c r="K35" s="68"/>
      <c r="L35" s="68">
        <v>2500</v>
      </c>
      <c r="M35" s="68">
        <v>13500</v>
      </c>
      <c r="N35" s="68"/>
      <c r="O35" s="21"/>
      <c r="P35" s="20"/>
      <c r="Q35" s="10"/>
      <c r="R35" s="11"/>
      <c r="S35" s="24"/>
      <c r="T35" s="24"/>
      <c r="U35" s="24"/>
      <c r="V35" s="9">
        <v>3500</v>
      </c>
      <c r="W35" s="9">
        <v>14300</v>
      </c>
      <c r="X35" s="9">
        <v>6000</v>
      </c>
      <c r="Y35" s="9">
        <v>9300</v>
      </c>
      <c r="Z35" s="9">
        <v>11000</v>
      </c>
      <c r="AA35" s="9"/>
      <c r="AB35" s="9"/>
      <c r="AC35" s="11"/>
      <c r="AD35" s="68">
        <v>5500</v>
      </c>
      <c r="AE35" s="10"/>
      <c r="AF35" s="10"/>
      <c r="AG35" s="68">
        <v>20800</v>
      </c>
      <c r="AH35" s="68">
        <v>5000</v>
      </c>
      <c r="AI35" s="10"/>
      <c r="AJ35" s="21"/>
      <c r="AK35" s="20"/>
      <c r="AL35" s="10"/>
      <c r="AM35" s="11"/>
      <c r="AN35" s="24"/>
      <c r="AO35" s="24"/>
      <c r="AQ35" s="9">
        <v>7500</v>
      </c>
      <c r="AR35" s="9">
        <v>32000</v>
      </c>
      <c r="AS35" s="9">
        <v>15500</v>
      </c>
      <c r="AT35" s="9">
        <v>2500</v>
      </c>
      <c r="AU35" s="9">
        <v>2250</v>
      </c>
      <c r="AV35" s="9">
        <v>56000</v>
      </c>
      <c r="AW35" s="9"/>
      <c r="AX35" s="11"/>
      <c r="AY35" s="68">
        <v>4320</v>
      </c>
      <c r="AZ35" s="68">
        <v>3000</v>
      </c>
      <c r="BA35" s="10"/>
      <c r="BB35" s="68">
        <v>15000</v>
      </c>
      <c r="BC35" s="68">
        <v>6500</v>
      </c>
      <c r="BD35" s="10"/>
      <c r="BE35" s="21"/>
      <c r="BF35" s="20"/>
      <c r="BG35" s="10"/>
      <c r="BH35" s="11"/>
      <c r="BI35" s="24"/>
      <c r="BJ35" s="24"/>
      <c r="BL35" s="9">
        <v>8500</v>
      </c>
      <c r="BM35" s="9">
        <v>2500</v>
      </c>
      <c r="BN35" s="9">
        <v>4000</v>
      </c>
      <c r="BO35" s="9">
        <v>8500</v>
      </c>
      <c r="BP35" s="9">
        <v>5500</v>
      </c>
      <c r="BQ35" s="9"/>
      <c r="BR35" s="9"/>
      <c r="BS35" s="11"/>
      <c r="BT35" s="68">
        <v>8320</v>
      </c>
      <c r="BU35" s="10"/>
      <c r="BV35" s="10"/>
      <c r="BW35" s="68">
        <v>8000</v>
      </c>
      <c r="BX35" s="68">
        <v>7500</v>
      </c>
      <c r="BY35" s="10"/>
      <c r="BZ35" s="21"/>
      <c r="CA35" s="20"/>
      <c r="CB35" s="10"/>
      <c r="CC35" s="11"/>
      <c r="CD35" s="24"/>
      <c r="CE35" s="24"/>
      <c r="CF35" s="24"/>
      <c r="CG35" s="9"/>
      <c r="CH35" s="9"/>
      <c r="CI35" s="9"/>
      <c r="CJ35" s="9"/>
      <c r="CK35" s="9"/>
      <c r="CL35" s="9"/>
      <c r="CM35" s="9"/>
      <c r="CN35" s="11"/>
      <c r="CO35" s="10"/>
      <c r="CP35" s="10"/>
      <c r="CQ35" s="10"/>
      <c r="CR35" s="10"/>
      <c r="CS35" s="21"/>
      <c r="CT35" s="20"/>
      <c r="CU35" s="10"/>
      <c r="CV35" s="11"/>
      <c r="CW35" s="24"/>
      <c r="CX35" s="24"/>
    </row>
    <row r="36" spans="14:76">
      <c r="N36" s="4"/>
      <c r="BA36" s="35"/>
      <c r="BB36" s="36"/>
      <c r="BC36" s="36"/>
      <c r="BD36" s="35"/>
      <c r="BE36" s="35"/>
      <c r="BF36" s="35"/>
      <c r="BW36" s="4"/>
      <c r="BX36" s="4"/>
    </row>
  </sheetData>
  <mergeCells count="61">
    <mergeCell ref="I1:N1"/>
    <mergeCell ref="P1:Q1"/>
    <mergeCell ref="AD1:AI1"/>
    <mergeCell ref="AK1:AL1"/>
    <mergeCell ref="AY1:BD1"/>
    <mergeCell ref="BF1:BG1"/>
    <mergeCell ref="BT1:BY1"/>
    <mergeCell ref="CA1:CB1"/>
    <mergeCell ref="CO1:CR1"/>
    <mergeCell ref="CT1:CU1"/>
    <mergeCell ref="S1:S2"/>
    <mergeCell ref="S3:S4"/>
    <mergeCell ref="S5:S6"/>
    <mergeCell ref="S7:S8"/>
    <mergeCell ref="T1:T2"/>
    <mergeCell ref="T3:T4"/>
    <mergeCell ref="T5:T6"/>
    <mergeCell ref="T7:T8"/>
    <mergeCell ref="AN1:AN2"/>
    <mergeCell ref="AN3:AN4"/>
    <mergeCell ref="AN5:AN6"/>
    <mergeCell ref="AN7:AN8"/>
    <mergeCell ref="AO1:AO2"/>
    <mergeCell ref="AO3:AO4"/>
    <mergeCell ref="AO5:AO6"/>
    <mergeCell ref="AO7:AO8"/>
    <mergeCell ref="BI1:BI2"/>
    <mergeCell ref="BI3:BI4"/>
    <mergeCell ref="BI5:BI6"/>
    <mergeCell ref="BI7:BI8"/>
    <mergeCell ref="BJ1:BJ2"/>
    <mergeCell ref="BJ3:BJ4"/>
    <mergeCell ref="BJ5:BJ6"/>
    <mergeCell ref="BJ7:BJ8"/>
    <mergeCell ref="CD1:CD2"/>
    <mergeCell ref="CD3:CD4"/>
    <mergeCell ref="CD5:CD6"/>
    <mergeCell ref="CD7:CD8"/>
    <mergeCell ref="CE1:CE2"/>
    <mergeCell ref="CE3:CE4"/>
    <mergeCell ref="CE5:CE6"/>
    <mergeCell ref="CE7:CE8"/>
    <mergeCell ref="CW1:CW2"/>
    <mergeCell ref="CW3:CW4"/>
    <mergeCell ref="CW5:CW6"/>
    <mergeCell ref="CW7:CW8"/>
    <mergeCell ref="CX1:CX2"/>
    <mergeCell ref="CX3:CX4"/>
    <mergeCell ref="CX5:CX6"/>
    <mergeCell ref="CX7:CX8"/>
    <mergeCell ref="CZ1:DC2"/>
    <mergeCell ref="CZ3:DA4"/>
    <mergeCell ref="DB3:DC4"/>
    <mergeCell ref="CZ5:DA6"/>
    <mergeCell ref="DB5:DC6"/>
    <mergeCell ref="CZ11:DA12"/>
    <mergeCell ref="DB11:DC12"/>
    <mergeCell ref="CZ7:DA8"/>
    <mergeCell ref="DB7:DC8"/>
    <mergeCell ref="CZ9:DA10"/>
    <mergeCell ref="DB9:DC10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F36"/>
  <sheetViews>
    <sheetView zoomScale="83" zoomScaleNormal="83" topLeftCell="CK1" workbookViewId="0">
      <selection activeCell="DE9" sqref="DE9:DF10"/>
    </sheetView>
  </sheetViews>
  <sheetFormatPr defaultColWidth="11" defaultRowHeight="14.4"/>
  <cols>
    <col min="1" max="7" width="11.712962962963" customWidth="1"/>
    <col min="8" max="8" width="1.71296296296296" customWidth="1"/>
    <col min="9" max="14" width="11.712962962963" customWidth="1"/>
    <col min="15" max="15" width="1.71296296296296" customWidth="1"/>
    <col min="16" max="17" width="11.712962962963" customWidth="1"/>
    <col min="18" max="18" width="1.71296296296296" customWidth="1"/>
    <col min="19" max="19" width="11.712962962963" customWidth="1"/>
    <col min="20" max="20" width="16.287037037037" customWidth="1"/>
    <col min="22" max="22" width="12.4259259259259" customWidth="1"/>
    <col min="23" max="23" width="11.1388888888889" customWidth="1"/>
    <col min="24" max="25" width="12" customWidth="1"/>
    <col min="26" max="26" width="13" customWidth="1"/>
    <col min="27" max="27" width="13.1388888888889" customWidth="1"/>
    <col min="28" max="28" width="12.8518518518519" customWidth="1"/>
    <col min="29" max="29" width="1.71296296296296" customWidth="1"/>
    <col min="30" max="30" width="10.8518518518519" customWidth="1"/>
    <col min="31" max="32" width="12" customWidth="1"/>
    <col min="33" max="34" width="13.712962962963" customWidth="1"/>
    <col min="35" max="35" width="12.1388888888889" customWidth="1"/>
    <col min="36" max="36" width="1.71296296296296" customWidth="1"/>
    <col min="37" max="38" width="12" customWidth="1"/>
    <col min="39" max="39" width="1.71296296296296" customWidth="1"/>
    <col min="40" max="40" width="15.1388888888889" customWidth="1"/>
    <col min="41" max="41" width="16.287037037037" customWidth="1"/>
    <col min="43" max="49" width="11.712962962963" customWidth="1"/>
    <col min="50" max="50" width="1.71296296296296" customWidth="1"/>
    <col min="51" max="56" width="11.712962962963" customWidth="1"/>
    <col min="57" max="57" width="1.71296296296296" customWidth="1"/>
    <col min="58" max="59" width="11.712962962963" customWidth="1"/>
    <col min="60" max="60" width="1.71296296296296" customWidth="1"/>
    <col min="61" max="61" width="11.712962962963" customWidth="1"/>
    <col min="62" max="62" width="17.1388888888889" customWidth="1"/>
    <col min="64" max="70" width="11.712962962963" customWidth="1"/>
    <col min="71" max="71" width="1.71296296296296" customWidth="1"/>
    <col min="72" max="74" width="11.712962962963" customWidth="1"/>
    <col min="75" max="76" width="12" customWidth="1"/>
    <col min="77" max="78" width="11.712962962963" customWidth="1"/>
    <col min="79" max="79" width="1.71296296296296" customWidth="1"/>
    <col min="80" max="81" width="11.712962962963" customWidth="1"/>
    <col min="82" max="82" width="1.71296296296296" customWidth="1"/>
    <col min="83" max="83" width="11.712962962963" customWidth="1"/>
    <col min="84" max="84" width="16.287037037037" customWidth="1"/>
    <col min="86" max="92" width="11.712962962963" customWidth="1"/>
    <col min="93" max="93" width="1.71296296296296" customWidth="1"/>
    <col min="94" max="99" width="11.712962962963" customWidth="1"/>
    <col min="100" max="100" width="1.71296296296296" customWidth="1"/>
    <col min="101" max="101" width="12" customWidth="1"/>
    <col min="102" max="102" width="11.712962962963" customWidth="1"/>
    <col min="103" max="103" width="1.71296296296296" customWidth="1"/>
    <col min="104" max="104" width="11.712962962963" customWidth="1"/>
    <col min="105" max="105" width="16.287037037037" customWidth="1"/>
    <col min="106" max="106" width="9.42592592592593" customWidth="1"/>
    <col min="107" max="107" width="8.28703703703704" customWidth="1"/>
    <col min="108" max="108" width="7.13888888888889" customWidth="1"/>
    <col min="109" max="109" width="6.85185185185185" customWidth="1"/>
    <col min="110" max="110" width="17.5740740740741" customWidth="1"/>
  </cols>
  <sheetData>
    <row r="1" ht="15" customHeight="1" spans="1:110">
      <c r="A1" s="10">
        <v>7500</v>
      </c>
      <c r="B1" s="10">
        <v>450</v>
      </c>
      <c r="C1" s="10"/>
      <c r="D1" s="10"/>
      <c r="E1" s="10"/>
      <c r="F1" s="10"/>
      <c r="G1" s="10"/>
      <c r="H1" s="11"/>
      <c r="I1" s="13" t="s">
        <v>0</v>
      </c>
      <c r="J1" s="14"/>
      <c r="K1" s="14"/>
      <c r="L1" s="14"/>
      <c r="M1" s="14"/>
      <c r="N1" s="15"/>
      <c r="O1" s="11"/>
      <c r="P1" s="16" t="s">
        <v>1</v>
      </c>
      <c r="Q1" s="17"/>
      <c r="R1" s="11"/>
      <c r="S1" s="22" t="s">
        <v>2</v>
      </c>
      <c r="T1" s="23"/>
      <c r="U1" s="24"/>
      <c r="V1" s="10">
        <v>10000</v>
      </c>
      <c r="W1" s="10">
        <v>1500</v>
      </c>
      <c r="X1" s="10">
        <v>1000</v>
      </c>
      <c r="Y1" s="10">
        <v>1000</v>
      </c>
      <c r="Z1" s="10">
        <v>3000</v>
      </c>
      <c r="AA1" s="10">
        <v>17500</v>
      </c>
      <c r="AB1" s="10">
        <v>2000</v>
      </c>
      <c r="AC1" s="11"/>
      <c r="AD1" s="13" t="s">
        <v>0</v>
      </c>
      <c r="AE1" s="14"/>
      <c r="AF1" s="14"/>
      <c r="AG1" s="14"/>
      <c r="AH1" s="14"/>
      <c r="AI1" s="15"/>
      <c r="AJ1" s="11"/>
      <c r="AK1" s="16" t="s">
        <v>1</v>
      </c>
      <c r="AL1" s="17"/>
      <c r="AM1" s="11"/>
      <c r="AN1" s="22" t="s">
        <v>2</v>
      </c>
      <c r="AO1" s="23"/>
      <c r="AQ1" s="10">
        <v>5500</v>
      </c>
      <c r="AR1" s="10">
        <v>2500</v>
      </c>
      <c r="AS1" s="10">
        <v>7000</v>
      </c>
      <c r="AT1" s="10">
        <v>60900</v>
      </c>
      <c r="AU1" s="10">
        <v>10000</v>
      </c>
      <c r="AV1" s="10">
        <v>4000</v>
      </c>
      <c r="AW1" s="10">
        <v>7700</v>
      </c>
      <c r="AX1" s="11"/>
      <c r="AY1" s="13" t="s">
        <v>0</v>
      </c>
      <c r="AZ1" s="14"/>
      <c r="BA1" s="14"/>
      <c r="BB1" s="14"/>
      <c r="BC1" s="14"/>
      <c r="BD1" s="15"/>
      <c r="BE1" s="11"/>
      <c r="BF1" s="16" t="s">
        <v>1</v>
      </c>
      <c r="BG1" s="17"/>
      <c r="BH1" s="11"/>
      <c r="BI1" s="22" t="s">
        <v>2</v>
      </c>
      <c r="BJ1" s="23"/>
      <c r="BL1" s="10">
        <v>40000</v>
      </c>
      <c r="BM1" s="10">
        <v>11000</v>
      </c>
      <c r="BN1" s="10">
        <v>8000</v>
      </c>
      <c r="BO1" s="10">
        <v>3000</v>
      </c>
      <c r="BP1" s="10">
        <v>1500</v>
      </c>
      <c r="BQ1" s="10">
        <v>4500</v>
      </c>
      <c r="BR1" s="10">
        <v>18000</v>
      </c>
      <c r="BS1" s="11"/>
      <c r="BT1" s="13" t="s">
        <v>0</v>
      </c>
      <c r="BU1" s="14"/>
      <c r="BV1" s="14"/>
      <c r="BW1" s="14"/>
      <c r="BX1" s="14"/>
      <c r="BY1" s="14"/>
      <c r="BZ1" s="15"/>
      <c r="CA1" s="11"/>
      <c r="CB1" s="16" t="s">
        <v>1</v>
      </c>
      <c r="CC1" s="17"/>
      <c r="CD1" s="11"/>
      <c r="CE1" s="22" t="s">
        <v>2</v>
      </c>
      <c r="CF1" s="23"/>
      <c r="CH1" s="10">
        <v>1850</v>
      </c>
      <c r="CI1" s="10">
        <v>3000</v>
      </c>
      <c r="CJ1" s="10">
        <v>8000</v>
      </c>
      <c r="CK1" s="10">
        <v>12000</v>
      </c>
      <c r="CL1" s="10">
        <v>8500</v>
      </c>
      <c r="CM1" s="10">
        <v>12000</v>
      </c>
      <c r="CN1" s="10">
        <v>115000</v>
      </c>
      <c r="CO1" s="11"/>
      <c r="CP1" s="13" t="s">
        <v>0</v>
      </c>
      <c r="CQ1" s="14"/>
      <c r="CR1" s="14"/>
      <c r="CS1" s="14"/>
      <c r="CT1" s="14"/>
      <c r="CU1" s="15"/>
      <c r="CV1" s="11"/>
      <c r="CW1" s="16" t="s">
        <v>1</v>
      </c>
      <c r="CX1" s="17"/>
      <c r="CY1" s="11"/>
      <c r="CZ1" s="22" t="s">
        <v>2</v>
      </c>
      <c r="DA1" s="23"/>
      <c r="DC1" s="37" t="s">
        <v>3</v>
      </c>
      <c r="DD1" s="45"/>
      <c r="DE1" s="45"/>
      <c r="DF1" s="46"/>
    </row>
    <row r="2" ht="15" customHeight="1" spans="1:110">
      <c r="A2" s="12">
        <v>1000</v>
      </c>
      <c r="B2" s="12">
        <v>2400</v>
      </c>
      <c r="C2" s="12"/>
      <c r="D2" s="12"/>
      <c r="E2" s="12"/>
      <c r="F2" s="12"/>
      <c r="G2" s="12"/>
      <c r="H2" s="11"/>
      <c r="I2" s="68">
        <v>2500</v>
      </c>
      <c r="J2" s="10"/>
      <c r="K2" s="10"/>
      <c r="L2" s="68">
        <v>22000</v>
      </c>
      <c r="M2" s="68">
        <v>11300</v>
      </c>
      <c r="N2" s="10"/>
      <c r="O2" s="11"/>
      <c r="P2" s="20" t="s">
        <v>34</v>
      </c>
      <c r="Q2" s="10">
        <v>95200</v>
      </c>
      <c r="R2" s="11"/>
      <c r="S2" s="25"/>
      <c r="T2" s="26"/>
      <c r="U2" s="24"/>
      <c r="V2" s="12">
        <v>450</v>
      </c>
      <c r="W2" s="12">
        <v>3000</v>
      </c>
      <c r="X2" s="12">
        <v>800</v>
      </c>
      <c r="Y2" s="12">
        <v>32500</v>
      </c>
      <c r="Z2" s="12">
        <v>10000</v>
      </c>
      <c r="AA2" s="12">
        <v>2000</v>
      </c>
      <c r="AB2" s="12">
        <v>25000</v>
      </c>
      <c r="AC2" s="11"/>
      <c r="AD2" s="68">
        <v>9800</v>
      </c>
      <c r="AE2" s="68">
        <v>7500</v>
      </c>
      <c r="AF2" s="10"/>
      <c r="AG2" s="68">
        <v>1571890</v>
      </c>
      <c r="AH2" s="10"/>
      <c r="AI2" s="10"/>
      <c r="AJ2" s="11"/>
      <c r="AK2" s="20" t="s">
        <v>47</v>
      </c>
      <c r="AL2" s="10">
        <v>15000</v>
      </c>
      <c r="AM2" s="11"/>
      <c r="AN2" s="25"/>
      <c r="AO2" s="26"/>
      <c r="AQ2" s="12">
        <v>11500</v>
      </c>
      <c r="AR2" s="12">
        <v>57000</v>
      </c>
      <c r="AS2" s="12">
        <v>1000</v>
      </c>
      <c r="AT2" s="12">
        <v>4000</v>
      </c>
      <c r="AU2" s="12">
        <v>2700</v>
      </c>
      <c r="AV2" s="12">
        <v>3500</v>
      </c>
      <c r="AW2" s="12">
        <v>2000</v>
      </c>
      <c r="AX2" s="11"/>
      <c r="AY2" s="68">
        <v>2400</v>
      </c>
      <c r="AZ2" s="68">
        <v>47760</v>
      </c>
      <c r="BA2" s="68">
        <v>7690</v>
      </c>
      <c r="BB2" s="68">
        <v>32000</v>
      </c>
      <c r="BC2" s="68">
        <v>15000</v>
      </c>
      <c r="BD2" s="68">
        <v>767650</v>
      </c>
      <c r="BE2" s="11"/>
      <c r="BF2" s="20" t="s">
        <v>46</v>
      </c>
      <c r="BG2" s="10">
        <v>8700</v>
      </c>
      <c r="BH2" s="11"/>
      <c r="BI2" s="25"/>
      <c r="BJ2" s="26"/>
      <c r="BL2" s="12">
        <v>3000</v>
      </c>
      <c r="BM2" s="12">
        <v>18000</v>
      </c>
      <c r="BN2" s="12">
        <v>9500</v>
      </c>
      <c r="BO2" s="12">
        <v>3500</v>
      </c>
      <c r="BP2" s="12">
        <v>10500</v>
      </c>
      <c r="BQ2" s="12">
        <v>4000</v>
      </c>
      <c r="BR2" s="12">
        <v>4000</v>
      </c>
      <c r="BS2" s="11"/>
      <c r="BT2" s="68">
        <v>21130</v>
      </c>
      <c r="BU2" s="68">
        <v>9000</v>
      </c>
      <c r="BV2" s="68">
        <v>5300</v>
      </c>
      <c r="BW2" s="74">
        <v>9100</v>
      </c>
      <c r="BX2" s="68">
        <v>13500</v>
      </c>
      <c r="BY2" s="68">
        <v>35000</v>
      </c>
      <c r="BZ2" s="10"/>
      <c r="CA2" s="11"/>
      <c r="CB2" s="20" t="s">
        <v>11</v>
      </c>
      <c r="CC2" s="10">
        <v>165980</v>
      </c>
      <c r="CD2" s="11"/>
      <c r="CE2" s="25"/>
      <c r="CF2" s="26"/>
      <c r="CH2" s="12">
        <v>10000</v>
      </c>
      <c r="CI2" s="12">
        <v>2500</v>
      </c>
      <c r="CJ2" s="12">
        <v>9500</v>
      </c>
      <c r="CK2" s="12">
        <v>15000</v>
      </c>
      <c r="CL2" s="12">
        <v>1000</v>
      </c>
      <c r="CM2" s="12">
        <v>1000</v>
      </c>
      <c r="CN2" s="12">
        <v>1600</v>
      </c>
      <c r="CO2" s="11"/>
      <c r="CP2" s="68">
        <v>1000</v>
      </c>
      <c r="CQ2" s="68">
        <v>2000</v>
      </c>
      <c r="CR2" s="68">
        <v>7200</v>
      </c>
      <c r="CS2" s="68">
        <v>6500</v>
      </c>
      <c r="CT2" s="68">
        <v>15000</v>
      </c>
      <c r="CU2" s="68">
        <v>30000</v>
      </c>
      <c r="CV2" s="11"/>
      <c r="CW2" s="20"/>
      <c r="CX2" s="10"/>
      <c r="CY2" s="11"/>
      <c r="CZ2" s="25"/>
      <c r="DA2" s="26"/>
      <c r="DC2" s="38"/>
      <c r="DD2" s="47"/>
      <c r="DE2" s="47"/>
      <c r="DF2" s="48"/>
    </row>
    <row r="3" ht="15" customHeight="1" spans="1:110">
      <c r="A3" s="9">
        <v>27300</v>
      </c>
      <c r="B3" s="9">
        <v>6500</v>
      </c>
      <c r="C3" s="9"/>
      <c r="D3" s="9"/>
      <c r="E3" s="9"/>
      <c r="F3" s="9"/>
      <c r="G3" s="9"/>
      <c r="H3" s="11"/>
      <c r="I3" s="68">
        <v>2400</v>
      </c>
      <c r="J3" s="10"/>
      <c r="K3" s="10"/>
      <c r="L3" s="68">
        <v>22500</v>
      </c>
      <c r="M3" s="68">
        <v>15000</v>
      </c>
      <c r="N3" s="10"/>
      <c r="O3" s="19"/>
      <c r="P3" s="20"/>
      <c r="Q3" s="10"/>
      <c r="R3" s="11">
        <v>1</v>
      </c>
      <c r="S3" s="27" t="s">
        <v>9</v>
      </c>
      <c r="T3" s="23">
        <f>SUM(A1:H35)</f>
        <v>429100</v>
      </c>
      <c r="U3" s="24"/>
      <c r="V3" s="9">
        <v>18000</v>
      </c>
      <c r="W3" s="9">
        <v>10000</v>
      </c>
      <c r="X3" s="9">
        <v>4000</v>
      </c>
      <c r="Y3" s="9">
        <v>1700</v>
      </c>
      <c r="Z3" s="9">
        <v>7500</v>
      </c>
      <c r="AA3" s="9">
        <v>1000</v>
      </c>
      <c r="AB3" s="9">
        <v>3000</v>
      </c>
      <c r="AC3" s="11"/>
      <c r="AD3" s="68">
        <v>29780</v>
      </c>
      <c r="AE3" s="68">
        <v>7200</v>
      </c>
      <c r="AF3" s="10"/>
      <c r="AG3" s="68">
        <v>3500</v>
      </c>
      <c r="AH3" s="10"/>
      <c r="AI3" s="10"/>
      <c r="AJ3" s="19"/>
      <c r="AK3" s="20" t="s">
        <v>79</v>
      </c>
      <c r="AL3" s="10">
        <v>66960</v>
      </c>
      <c r="AM3" s="11">
        <v>1</v>
      </c>
      <c r="AN3" s="27" t="s">
        <v>9</v>
      </c>
      <c r="AO3" s="23">
        <f>SUM(V1:AC35)</f>
        <v>2325900</v>
      </c>
      <c r="AQ3" s="9">
        <v>3400</v>
      </c>
      <c r="AR3" s="9">
        <v>600</v>
      </c>
      <c r="AS3" s="9">
        <v>4500</v>
      </c>
      <c r="AT3" s="9">
        <v>1800</v>
      </c>
      <c r="AU3" s="9">
        <v>28000</v>
      </c>
      <c r="AV3" s="9">
        <v>44300</v>
      </c>
      <c r="AW3" s="9">
        <v>6500</v>
      </c>
      <c r="AX3" s="11"/>
      <c r="AY3" s="68">
        <v>4320</v>
      </c>
      <c r="AZ3" s="68">
        <v>15500</v>
      </c>
      <c r="BA3" s="68">
        <v>700</v>
      </c>
      <c r="BB3" s="68">
        <v>12000</v>
      </c>
      <c r="BC3" s="68">
        <v>80000</v>
      </c>
      <c r="BD3" s="68">
        <v>1500</v>
      </c>
      <c r="BE3" s="19"/>
      <c r="BF3" s="20" t="s">
        <v>31</v>
      </c>
      <c r="BG3" s="10">
        <v>9800</v>
      </c>
      <c r="BH3" s="11">
        <v>1</v>
      </c>
      <c r="BI3" s="27" t="s">
        <v>9</v>
      </c>
      <c r="BJ3" s="23">
        <f>SUM(AQ1:AX35)</f>
        <v>2430410</v>
      </c>
      <c r="BL3" s="9">
        <v>2000</v>
      </c>
      <c r="BM3" s="9">
        <v>3500</v>
      </c>
      <c r="BN3" s="9">
        <v>1500</v>
      </c>
      <c r="BO3" s="9">
        <v>800</v>
      </c>
      <c r="BP3" s="9">
        <v>6000</v>
      </c>
      <c r="BQ3" s="9">
        <v>15000</v>
      </c>
      <c r="BR3" s="9">
        <v>17000</v>
      </c>
      <c r="BS3" s="11"/>
      <c r="BT3" s="68">
        <v>3840</v>
      </c>
      <c r="BU3" s="68">
        <v>8640</v>
      </c>
      <c r="BV3" s="68">
        <v>6000</v>
      </c>
      <c r="BW3" s="74">
        <v>20000</v>
      </c>
      <c r="BX3" s="68">
        <v>14200</v>
      </c>
      <c r="BY3" s="68">
        <v>3500</v>
      </c>
      <c r="BZ3" s="10"/>
      <c r="CA3" s="19"/>
      <c r="CB3" s="20" t="s">
        <v>29</v>
      </c>
      <c r="CC3" s="10">
        <v>482570</v>
      </c>
      <c r="CD3" s="11">
        <v>1</v>
      </c>
      <c r="CE3" s="27" t="s">
        <v>9</v>
      </c>
      <c r="CF3" s="23">
        <f>SUM(BL1:BS35)</f>
        <v>1954850</v>
      </c>
      <c r="CH3" s="9">
        <v>2300</v>
      </c>
      <c r="CI3" s="9">
        <v>1500</v>
      </c>
      <c r="CJ3" s="9">
        <v>1000</v>
      </c>
      <c r="CK3" s="9">
        <v>3000</v>
      </c>
      <c r="CL3" s="9">
        <v>24500</v>
      </c>
      <c r="CM3" s="9">
        <v>2500</v>
      </c>
      <c r="CN3" s="9">
        <v>3500</v>
      </c>
      <c r="CO3" s="11"/>
      <c r="CP3" s="68">
        <v>30000</v>
      </c>
      <c r="CQ3" s="68">
        <v>1000</v>
      </c>
      <c r="CR3" s="68">
        <v>4500</v>
      </c>
      <c r="CS3" s="68">
        <v>33000</v>
      </c>
      <c r="CT3" s="68">
        <v>29400</v>
      </c>
      <c r="CU3" s="68">
        <v>600</v>
      </c>
      <c r="CV3" s="19"/>
      <c r="CW3" s="20" t="s">
        <v>18</v>
      </c>
      <c r="CX3" s="10">
        <v>688000</v>
      </c>
      <c r="CY3" s="11">
        <v>1</v>
      </c>
      <c r="CZ3" s="27" t="s">
        <v>9</v>
      </c>
      <c r="DA3" s="23">
        <f>SUM(CH1:CO35)</f>
        <v>1844250</v>
      </c>
      <c r="DC3" s="39" t="s">
        <v>9</v>
      </c>
      <c r="DD3" s="49"/>
      <c r="DE3" s="50">
        <f>SUM(T3,AO3,BJ3,CF3,DA3)</f>
        <v>8984510</v>
      </c>
      <c r="DF3" s="51"/>
    </row>
    <row r="4" ht="15" customHeight="1" spans="1:110">
      <c r="A4" s="9">
        <v>1500</v>
      </c>
      <c r="B4" s="9">
        <v>7000</v>
      </c>
      <c r="C4" s="9"/>
      <c r="D4" s="9"/>
      <c r="E4" s="9"/>
      <c r="F4" s="9"/>
      <c r="G4" s="9"/>
      <c r="H4" s="11"/>
      <c r="I4" s="68">
        <v>8170</v>
      </c>
      <c r="J4" s="10"/>
      <c r="K4" s="10"/>
      <c r="L4" s="68">
        <v>2000</v>
      </c>
      <c r="M4" s="68">
        <v>2500</v>
      </c>
      <c r="N4" s="10"/>
      <c r="O4" s="19"/>
      <c r="P4" s="20"/>
      <c r="Q4" s="10"/>
      <c r="R4" s="11"/>
      <c r="S4" s="28"/>
      <c r="T4" s="26"/>
      <c r="U4" s="24"/>
      <c r="V4" s="9">
        <v>4500</v>
      </c>
      <c r="W4" s="9">
        <v>30000</v>
      </c>
      <c r="X4" s="9">
        <v>7000</v>
      </c>
      <c r="Y4" s="9">
        <v>6500</v>
      </c>
      <c r="Z4" s="9">
        <v>3500</v>
      </c>
      <c r="AA4" s="9">
        <v>2600</v>
      </c>
      <c r="AB4" s="9">
        <v>4500</v>
      </c>
      <c r="AC4" s="11"/>
      <c r="AD4" s="68">
        <v>550</v>
      </c>
      <c r="AE4" s="68">
        <v>2400</v>
      </c>
      <c r="AF4" s="10"/>
      <c r="AG4" s="68">
        <v>19400</v>
      </c>
      <c r="AH4" s="10"/>
      <c r="AI4" s="10"/>
      <c r="AJ4" s="19"/>
      <c r="AK4" s="20" t="s">
        <v>31</v>
      </c>
      <c r="AL4" s="10">
        <v>31000</v>
      </c>
      <c r="AM4" s="11"/>
      <c r="AN4" s="28"/>
      <c r="AO4" s="26"/>
      <c r="AQ4" s="9">
        <v>4000</v>
      </c>
      <c r="AR4" s="9">
        <v>22500</v>
      </c>
      <c r="AS4" s="9">
        <v>13600</v>
      </c>
      <c r="AT4" s="9">
        <v>6500</v>
      </c>
      <c r="AU4" s="9">
        <v>2200</v>
      </c>
      <c r="AV4" s="9">
        <v>3000</v>
      </c>
      <c r="AW4" s="9">
        <v>4500</v>
      </c>
      <c r="AX4" s="11"/>
      <c r="AY4" s="68">
        <v>3840</v>
      </c>
      <c r="AZ4" s="68">
        <v>13500</v>
      </c>
      <c r="BA4" s="10"/>
      <c r="BB4" s="68">
        <v>4500</v>
      </c>
      <c r="BC4" s="68">
        <v>12000</v>
      </c>
      <c r="BD4" s="68">
        <v>24000</v>
      </c>
      <c r="BE4" s="19"/>
      <c r="BF4" s="20" t="s">
        <v>44</v>
      </c>
      <c r="BG4" s="10">
        <v>159300</v>
      </c>
      <c r="BH4" s="11"/>
      <c r="BI4" s="28"/>
      <c r="BJ4" s="26"/>
      <c r="BL4" s="9">
        <v>3000</v>
      </c>
      <c r="BM4" s="9">
        <v>750</v>
      </c>
      <c r="BN4" s="9">
        <v>1500</v>
      </c>
      <c r="BO4" s="9">
        <v>6500</v>
      </c>
      <c r="BP4" s="9">
        <v>18500</v>
      </c>
      <c r="BQ4" s="9">
        <v>17000</v>
      </c>
      <c r="BR4" s="9">
        <v>4000</v>
      </c>
      <c r="BS4" s="11"/>
      <c r="BT4" s="68">
        <v>4950</v>
      </c>
      <c r="BU4" s="68">
        <v>30740</v>
      </c>
      <c r="BV4" s="68">
        <v>4000</v>
      </c>
      <c r="BW4" s="74">
        <v>1000</v>
      </c>
      <c r="BX4" s="68">
        <v>9500</v>
      </c>
      <c r="BY4" s="68">
        <v>9000</v>
      </c>
      <c r="BZ4" s="10"/>
      <c r="CA4" s="19"/>
      <c r="CB4" s="20" t="s">
        <v>80</v>
      </c>
      <c r="CC4" s="10">
        <v>551490</v>
      </c>
      <c r="CD4" s="11"/>
      <c r="CE4" s="28"/>
      <c r="CF4" s="26"/>
      <c r="CH4" s="9">
        <v>3500</v>
      </c>
      <c r="CI4" s="9">
        <v>3000</v>
      </c>
      <c r="CJ4" s="9">
        <v>3500</v>
      </c>
      <c r="CK4" s="9">
        <v>6000</v>
      </c>
      <c r="CL4" s="9">
        <v>34300</v>
      </c>
      <c r="CM4" s="9">
        <v>12000</v>
      </c>
      <c r="CN4" s="9">
        <v>4000</v>
      </c>
      <c r="CO4" s="11"/>
      <c r="CP4" s="68">
        <v>5000</v>
      </c>
      <c r="CQ4" s="68">
        <v>43000</v>
      </c>
      <c r="CR4" s="68">
        <v>2500</v>
      </c>
      <c r="CS4" s="68">
        <v>2500</v>
      </c>
      <c r="CT4" s="68">
        <v>6000</v>
      </c>
      <c r="CU4" s="68">
        <v>4000</v>
      </c>
      <c r="CV4" s="19"/>
      <c r="CW4" s="20" t="s">
        <v>14</v>
      </c>
      <c r="CX4" s="10">
        <v>641090</v>
      </c>
      <c r="CY4" s="11"/>
      <c r="CZ4" s="28"/>
      <c r="DA4" s="26"/>
      <c r="DC4" s="40"/>
      <c r="DD4" s="52"/>
      <c r="DE4" s="53"/>
      <c r="DF4" s="54"/>
    </row>
    <row r="5" ht="15" customHeight="1" spans="1:110">
      <c r="A5" s="9">
        <v>11000</v>
      </c>
      <c r="B5" s="9">
        <v>3000</v>
      </c>
      <c r="C5" s="9"/>
      <c r="D5" s="9"/>
      <c r="E5" s="9"/>
      <c r="F5" s="9"/>
      <c r="G5" s="9"/>
      <c r="H5" s="11"/>
      <c r="I5" s="68">
        <v>30740</v>
      </c>
      <c r="J5" s="10"/>
      <c r="K5" s="10"/>
      <c r="L5" s="68">
        <v>3500</v>
      </c>
      <c r="M5" s="68">
        <v>1000</v>
      </c>
      <c r="N5" s="10"/>
      <c r="O5" s="19"/>
      <c r="P5" s="20"/>
      <c r="Q5" s="10"/>
      <c r="R5" s="11"/>
      <c r="S5" s="27" t="s">
        <v>17</v>
      </c>
      <c r="T5" s="23">
        <f>SUM(I2:N35)</f>
        <v>984700</v>
      </c>
      <c r="U5" s="24"/>
      <c r="V5" s="9">
        <v>16000</v>
      </c>
      <c r="W5" s="9">
        <v>5000</v>
      </c>
      <c r="X5" s="9">
        <v>7000</v>
      </c>
      <c r="Y5" s="9">
        <v>1000</v>
      </c>
      <c r="Z5" s="9">
        <v>7500</v>
      </c>
      <c r="AA5" s="9">
        <v>18000</v>
      </c>
      <c r="AB5" s="9">
        <v>15000</v>
      </c>
      <c r="AC5" s="11"/>
      <c r="AD5" s="68">
        <v>8170</v>
      </c>
      <c r="AE5" s="68">
        <v>34100</v>
      </c>
      <c r="AF5" s="10"/>
      <c r="AG5" s="68">
        <v>600</v>
      </c>
      <c r="AH5" s="10"/>
      <c r="AI5" s="10"/>
      <c r="AJ5" s="19"/>
      <c r="AK5" s="20" t="s">
        <v>81</v>
      </c>
      <c r="AL5" s="10">
        <v>11000</v>
      </c>
      <c r="AM5" s="11"/>
      <c r="AN5" s="27" t="s">
        <v>17</v>
      </c>
      <c r="AO5" s="23">
        <f>SUM(AD2:AI35)</f>
        <v>2586320</v>
      </c>
      <c r="AQ5" s="9">
        <v>1500</v>
      </c>
      <c r="AR5" s="9">
        <v>6500</v>
      </c>
      <c r="AS5" s="9">
        <v>57000</v>
      </c>
      <c r="AT5" s="9">
        <v>1500</v>
      </c>
      <c r="AU5" s="9">
        <v>9000</v>
      </c>
      <c r="AV5" s="9">
        <v>4200</v>
      </c>
      <c r="AW5" s="9">
        <v>1500</v>
      </c>
      <c r="AX5" s="11"/>
      <c r="AY5" s="68">
        <v>41060</v>
      </c>
      <c r="AZ5" s="68">
        <v>24000</v>
      </c>
      <c r="BA5" s="10"/>
      <c r="BB5" s="68">
        <v>4000</v>
      </c>
      <c r="BC5" s="68">
        <v>3500</v>
      </c>
      <c r="BD5" s="68">
        <v>2300</v>
      </c>
      <c r="BE5" s="19"/>
      <c r="BF5" s="20" t="s">
        <v>64</v>
      </c>
      <c r="BG5" s="10">
        <v>27000</v>
      </c>
      <c r="BH5" s="11"/>
      <c r="BI5" s="27" t="s">
        <v>17</v>
      </c>
      <c r="BJ5" s="23">
        <f>SUM(AY2:BD35)</f>
        <v>2365720</v>
      </c>
      <c r="BL5" s="9">
        <v>5000</v>
      </c>
      <c r="BM5" s="9">
        <v>2500</v>
      </c>
      <c r="BN5" s="9">
        <v>6500</v>
      </c>
      <c r="BO5" s="9">
        <v>200</v>
      </c>
      <c r="BP5" s="9">
        <v>16000</v>
      </c>
      <c r="BQ5" s="9">
        <v>20000</v>
      </c>
      <c r="BR5" s="9">
        <v>2500</v>
      </c>
      <c r="BS5" s="11"/>
      <c r="BT5" s="68">
        <v>21620</v>
      </c>
      <c r="BU5" s="68">
        <v>6500</v>
      </c>
      <c r="BV5" s="68">
        <v>4500</v>
      </c>
      <c r="BW5" s="74">
        <v>3360</v>
      </c>
      <c r="BX5" s="68">
        <v>25800</v>
      </c>
      <c r="BY5" s="68">
        <v>11600</v>
      </c>
      <c r="BZ5" s="10"/>
      <c r="CA5" s="19"/>
      <c r="CB5" s="20" t="s">
        <v>5</v>
      </c>
      <c r="CC5" s="10">
        <v>135180</v>
      </c>
      <c r="CD5" s="11"/>
      <c r="CE5" s="27" t="s">
        <v>17</v>
      </c>
      <c r="CF5" s="23">
        <f>SUM(BT2:BZ35)</f>
        <v>2094360</v>
      </c>
      <c r="CH5" s="9">
        <v>4500</v>
      </c>
      <c r="CI5" s="9">
        <v>11000</v>
      </c>
      <c r="CJ5" s="9">
        <v>2000</v>
      </c>
      <c r="CK5" s="9">
        <v>5000</v>
      </c>
      <c r="CL5" s="9">
        <v>1500</v>
      </c>
      <c r="CM5" s="9">
        <v>6000</v>
      </c>
      <c r="CN5" s="9">
        <v>4800</v>
      </c>
      <c r="CO5" s="11"/>
      <c r="CP5" s="68">
        <v>13200</v>
      </c>
      <c r="CQ5" s="68">
        <v>5500</v>
      </c>
      <c r="CR5" s="68">
        <v>3500</v>
      </c>
      <c r="CS5" s="68">
        <v>5500</v>
      </c>
      <c r="CT5" s="68">
        <v>34590</v>
      </c>
      <c r="CU5" s="68">
        <v>2300</v>
      </c>
      <c r="CV5" s="19"/>
      <c r="CW5" s="20" t="s">
        <v>10</v>
      </c>
      <c r="CX5" s="10">
        <v>119400</v>
      </c>
      <c r="CY5" s="11"/>
      <c r="CZ5" s="27" t="s">
        <v>17</v>
      </c>
      <c r="DA5" s="23">
        <f>SUM(CP2:CU35)</f>
        <v>2104950</v>
      </c>
      <c r="DC5" s="39" t="s">
        <v>17</v>
      </c>
      <c r="DD5" s="49"/>
      <c r="DE5" s="50">
        <f>SUM(T5,AO5,BJ5,CF5,DA5)</f>
        <v>10136050</v>
      </c>
      <c r="DF5" s="51"/>
    </row>
    <row r="6" ht="15" customHeight="1" spans="1:110">
      <c r="A6" s="9">
        <v>100</v>
      </c>
      <c r="B6" s="9">
        <v>600</v>
      </c>
      <c r="C6" s="9"/>
      <c r="D6" s="9"/>
      <c r="E6" s="9"/>
      <c r="F6" s="9"/>
      <c r="G6" s="9"/>
      <c r="H6" s="11"/>
      <c r="I6" s="68">
        <v>32760</v>
      </c>
      <c r="J6" s="10"/>
      <c r="K6" s="10"/>
      <c r="L6" s="68">
        <v>11000</v>
      </c>
      <c r="M6" s="68">
        <v>3000</v>
      </c>
      <c r="N6" s="10"/>
      <c r="O6" s="19"/>
      <c r="P6" s="20"/>
      <c r="Q6" s="10"/>
      <c r="R6" s="11"/>
      <c r="S6" s="28"/>
      <c r="T6" s="26"/>
      <c r="U6" s="24"/>
      <c r="V6" s="9">
        <v>2500</v>
      </c>
      <c r="W6" s="9">
        <v>1500</v>
      </c>
      <c r="X6" s="9">
        <v>1500</v>
      </c>
      <c r="Y6" s="9">
        <v>5500</v>
      </c>
      <c r="Z6" s="9">
        <v>5000</v>
      </c>
      <c r="AA6" s="9">
        <v>1500</v>
      </c>
      <c r="AB6" s="9">
        <v>800</v>
      </c>
      <c r="AC6" s="11"/>
      <c r="AD6" s="68">
        <v>43230</v>
      </c>
      <c r="AE6" s="68">
        <v>6730</v>
      </c>
      <c r="AF6" s="10"/>
      <c r="AG6" s="68">
        <v>7000</v>
      </c>
      <c r="AH6" s="10"/>
      <c r="AI6" s="10"/>
      <c r="AJ6" s="19"/>
      <c r="AK6" s="20" t="s">
        <v>4</v>
      </c>
      <c r="AL6" s="10">
        <v>135000</v>
      </c>
      <c r="AM6" s="11"/>
      <c r="AN6" s="28"/>
      <c r="AO6" s="26"/>
      <c r="AQ6" s="9">
        <v>5000</v>
      </c>
      <c r="AR6" s="9">
        <v>38000</v>
      </c>
      <c r="AS6" s="9">
        <v>800</v>
      </c>
      <c r="AT6" s="9">
        <v>4500</v>
      </c>
      <c r="AU6" s="9">
        <v>8000</v>
      </c>
      <c r="AV6" s="9">
        <v>1500</v>
      </c>
      <c r="AW6" s="9">
        <v>6500</v>
      </c>
      <c r="AX6" s="11"/>
      <c r="AY6" s="68">
        <v>5540</v>
      </c>
      <c r="AZ6" s="68">
        <v>6500</v>
      </c>
      <c r="BA6" s="10"/>
      <c r="BB6" s="68">
        <v>4500</v>
      </c>
      <c r="BC6" s="68">
        <v>4500</v>
      </c>
      <c r="BD6" s="68">
        <v>12000</v>
      </c>
      <c r="BE6" s="19"/>
      <c r="BF6" s="20" t="s">
        <v>37</v>
      </c>
      <c r="BG6" s="10">
        <v>70120</v>
      </c>
      <c r="BH6" s="11"/>
      <c r="BI6" s="28"/>
      <c r="BJ6" s="26"/>
      <c r="BL6" s="9">
        <v>4000</v>
      </c>
      <c r="BM6" s="9">
        <v>38500</v>
      </c>
      <c r="BN6" s="9">
        <v>5000</v>
      </c>
      <c r="BO6" s="9">
        <v>2000</v>
      </c>
      <c r="BP6" s="9">
        <v>3000</v>
      </c>
      <c r="BQ6" s="9">
        <v>1500</v>
      </c>
      <c r="BR6" s="9">
        <v>1000</v>
      </c>
      <c r="BS6" s="11"/>
      <c r="BT6" s="68">
        <v>12970</v>
      </c>
      <c r="BU6" s="68">
        <v>3000</v>
      </c>
      <c r="BV6" s="68">
        <v>4000</v>
      </c>
      <c r="BW6" s="74">
        <v>9000</v>
      </c>
      <c r="BX6" s="68">
        <v>8500</v>
      </c>
      <c r="BY6" s="68">
        <v>4000</v>
      </c>
      <c r="BZ6" s="10"/>
      <c r="CA6" s="19"/>
      <c r="CB6" s="20" t="s">
        <v>82</v>
      </c>
      <c r="CC6" s="10">
        <v>36000</v>
      </c>
      <c r="CD6" s="11"/>
      <c r="CE6" s="28"/>
      <c r="CF6" s="26"/>
      <c r="CH6" s="9">
        <v>13500</v>
      </c>
      <c r="CI6" s="9">
        <v>2000</v>
      </c>
      <c r="CJ6" s="9">
        <v>3500</v>
      </c>
      <c r="CK6" s="9">
        <v>4000</v>
      </c>
      <c r="CL6" s="9">
        <v>2500</v>
      </c>
      <c r="CM6" s="9">
        <v>6000</v>
      </c>
      <c r="CN6" s="9">
        <v>3500</v>
      </c>
      <c r="CO6" s="11"/>
      <c r="CP6" s="68">
        <v>15500</v>
      </c>
      <c r="CQ6" s="68">
        <v>20000</v>
      </c>
      <c r="CR6" s="68">
        <v>25000</v>
      </c>
      <c r="CS6" s="68">
        <v>1000</v>
      </c>
      <c r="CT6" s="68">
        <v>10000</v>
      </c>
      <c r="CU6" s="68">
        <v>4000</v>
      </c>
      <c r="CV6" s="19"/>
      <c r="CW6" s="20" t="s">
        <v>83</v>
      </c>
      <c r="CX6" s="10">
        <v>158000</v>
      </c>
      <c r="CY6" s="11"/>
      <c r="CZ6" s="28"/>
      <c r="DA6" s="26"/>
      <c r="DC6" s="40"/>
      <c r="DD6" s="52"/>
      <c r="DE6" s="53"/>
      <c r="DF6" s="54"/>
    </row>
    <row r="7" ht="15" customHeight="1" spans="1:110">
      <c r="A7" s="9">
        <v>1650</v>
      </c>
      <c r="B7" s="9">
        <v>4000</v>
      </c>
      <c r="C7" s="9"/>
      <c r="D7" s="9"/>
      <c r="E7" s="9"/>
      <c r="F7" s="9"/>
      <c r="G7" s="9"/>
      <c r="H7" s="11"/>
      <c r="I7" s="68">
        <v>6500</v>
      </c>
      <c r="J7" s="10"/>
      <c r="K7" s="10"/>
      <c r="L7" s="68">
        <v>42500</v>
      </c>
      <c r="M7" s="68">
        <v>1000</v>
      </c>
      <c r="N7" s="10"/>
      <c r="O7" s="19"/>
      <c r="P7" s="20"/>
      <c r="Q7" s="10"/>
      <c r="R7" s="11"/>
      <c r="S7" s="27" t="s">
        <v>1</v>
      </c>
      <c r="T7" s="23">
        <f>SUM(Q2:Q35)</f>
        <v>95200</v>
      </c>
      <c r="U7" s="24"/>
      <c r="V7" s="9">
        <v>18000</v>
      </c>
      <c r="W7" s="9">
        <v>30000</v>
      </c>
      <c r="X7" s="9">
        <v>2000</v>
      </c>
      <c r="Y7" s="9">
        <v>1500</v>
      </c>
      <c r="Z7" s="9">
        <v>3450</v>
      </c>
      <c r="AA7" s="9">
        <v>110000</v>
      </c>
      <c r="AB7" s="9">
        <v>133000</v>
      </c>
      <c r="AC7" s="11"/>
      <c r="AD7" s="68">
        <v>2690</v>
      </c>
      <c r="AE7" s="68">
        <v>11530</v>
      </c>
      <c r="AF7" s="10"/>
      <c r="AG7" s="68">
        <v>14000</v>
      </c>
      <c r="AH7" s="10"/>
      <c r="AI7" s="10"/>
      <c r="AJ7" s="19"/>
      <c r="AK7" s="20" t="s">
        <v>31</v>
      </c>
      <c r="AL7" s="10">
        <v>5700</v>
      </c>
      <c r="AM7" s="11"/>
      <c r="AN7" s="27" t="s">
        <v>1</v>
      </c>
      <c r="AO7" s="23">
        <f>SUM(AL2:AL35)</f>
        <v>2683880</v>
      </c>
      <c r="AQ7" s="9">
        <v>2500</v>
      </c>
      <c r="AR7" s="9">
        <v>4250</v>
      </c>
      <c r="AS7" s="9">
        <v>8000</v>
      </c>
      <c r="AT7" s="9">
        <v>4000</v>
      </c>
      <c r="AU7" s="9">
        <v>4500</v>
      </c>
      <c r="AV7" s="9">
        <v>2500</v>
      </c>
      <c r="AW7" s="9">
        <v>10000</v>
      </c>
      <c r="AX7" s="11"/>
      <c r="AY7" s="68">
        <v>163620</v>
      </c>
      <c r="AZ7" s="68">
        <v>10160</v>
      </c>
      <c r="BA7" s="10"/>
      <c r="BB7" s="68">
        <v>25500</v>
      </c>
      <c r="BC7" s="68">
        <v>14000</v>
      </c>
      <c r="BD7" s="68">
        <v>5000</v>
      </c>
      <c r="BE7" s="19"/>
      <c r="BF7" s="20" t="s">
        <v>29</v>
      </c>
      <c r="BG7" s="10">
        <v>300000</v>
      </c>
      <c r="BH7" s="11"/>
      <c r="BI7" s="27" t="s">
        <v>1</v>
      </c>
      <c r="BJ7" s="23">
        <f>SUM(BG2:BG35)</f>
        <v>4758200</v>
      </c>
      <c r="BL7" s="9">
        <v>8000</v>
      </c>
      <c r="BM7" s="9">
        <v>3500</v>
      </c>
      <c r="BN7" s="9">
        <v>4000</v>
      </c>
      <c r="BO7" s="9">
        <v>6000</v>
      </c>
      <c r="BP7" s="9">
        <v>69000</v>
      </c>
      <c r="BQ7" s="9">
        <v>6000</v>
      </c>
      <c r="BR7" s="9">
        <v>3500</v>
      </c>
      <c r="BS7" s="11"/>
      <c r="BT7" s="68">
        <v>2000</v>
      </c>
      <c r="BU7" s="68">
        <v>4000</v>
      </c>
      <c r="BV7" s="68">
        <v>6000</v>
      </c>
      <c r="BW7" s="74">
        <v>10000</v>
      </c>
      <c r="BX7" s="68">
        <v>9400</v>
      </c>
      <c r="BY7" s="68">
        <v>10000</v>
      </c>
      <c r="BZ7" s="10"/>
      <c r="CA7" s="19"/>
      <c r="CB7" s="20" t="s">
        <v>58</v>
      </c>
      <c r="CC7" s="10">
        <v>106</v>
      </c>
      <c r="CD7" s="11"/>
      <c r="CE7" s="27" t="s">
        <v>1</v>
      </c>
      <c r="CF7" s="23">
        <f>SUM(CC2:CC35)</f>
        <v>3725526</v>
      </c>
      <c r="CH7" s="9">
        <v>5000</v>
      </c>
      <c r="CI7" s="9">
        <v>3500</v>
      </c>
      <c r="CJ7" s="9">
        <v>1500</v>
      </c>
      <c r="CK7" s="9">
        <v>1000</v>
      </c>
      <c r="CL7" s="9">
        <v>5000</v>
      </c>
      <c r="CM7" s="9">
        <v>1000</v>
      </c>
      <c r="CN7" s="9">
        <v>4500</v>
      </c>
      <c r="CO7" s="11"/>
      <c r="CP7" s="68">
        <v>4500</v>
      </c>
      <c r="CQ7" s="68">
        <v>5500</v>
      </c>
      <c r="CR7" s="68">
        <v>18000</v>
      </c>
      <c r="CS7" s="68">
        <v>10000</v>
      </c>
      <c r="CT7" s="68">
        <v>10000</v>
      </c>
      <c r="CU7" s="68">
        <v>25500</v>
      </c>
      <c r="CV7" s="19"/>
      <c r="CW7" s="20" t="s">
        <v>84</v>
      </c>
      <c r="CX7" s="10">
        <v>47000</v>
      </c>
      <c r="CY7" s="11"/>
      <c r="CZ7" s="27" t="s">
        <v>1</v>
      </c>
      <c r="DA7" s="23">
        <f>SUM(CX2:CX35)</f>
        <v>3086190</v>
      </c>
      <c r="DC7" s="39" t="s">
        <v>1</v>
      </c>
      <c r="DD7" s="49"/>
      <c r="DE7" s="50">
        <f>SUM(T7,AO7,BJ7,CF7,DA7)</f>
        <v>14348996</v>
      </c>
      <c r="DF7" s="51"/>
    </row>
    <row r="8" ht="15" customHeight="1" spans="1:110">
      <c r="A8" s="9">
        <v>4000</v>
      </c>
      <c r="B8" s="9">
        <v>2500</v>
      </c>
      <c r="C8" s="9"/>
      <c r="D8" s="9"/>
      <c r="E8" s="9"/>
      <c r="F8" s="9"/>
      <c r="G8" s="9"/>
      <c r="H8" s="11"/>
      <c r="I8" s="68">
        <v>6730</v>
      </c>
      <c r="J8" s="10"/>
      <c r="K8" s="10"/>
      <c r="L8" s="68">
        <v>32500</v>
      </c>
      <c r="M8" s="68">
        <v>600</v>
      </c>
      <c r="N8" s="10"/>
      <c r="O8" s="19"/>
      <c r="P8" s="20"/>
      <c r="Q8" s="10"/>
      <c r="R8" s="11"/>
      <c r="S8" s="28"/>
      <c r="T8" s="26"/>
      <c r="U8" s="24"/>
      <c r="V8" s="9">
        <v>24000</v>
      </c>
      <c r="W8" s="9">
        <v>10000</v>
      </c>
      <c r="X8" s="9">
        <v>400</v>
      </c>
      <c r="Y8" s="9">
        <v>3000</v>
      </c>
      <c r="Z8" s="9">
        <v>7500</v>
      </c>
      <c r="AA8" s="9">
        <v>3000</v>
      </c>
      <c r="AB8" s="9">
        <v>3400</v>
      </c>
      <c r="AC8" s="11"/>
      <c r="AD8" s="68">
        <v>2640</v>
      </c>
      <c r="AE8" s="68">
        <v>7500</v>
      </c>
      <c r="AF8" s="10"/>
      <c r="AG8" s="68">
        <v>2500</v>
      </c>
      <c r="AH8" s="10"/>
      <c r="AI8" s="10"/>
      <c r="AJ8" s="19"/>
      <c r="AK8" s="20" t="s">
        <v>85</v>
      </c>
      <c r="AL8" s="10">
        <v>51050</v>
      </c>
      <c r="AM8" s="11"/>
      <c r="AN8" s="28"/>
      <c r="AO8" s="26"/>
      <c r="AQ8" s="9">
        <v>3000</v>
      </c>
      <c r="AR8" s="9">
        <v>19000</v>
      </c>
      <c r="AS8" s="9">
        <v>3800</v>
      </c>
      <c r="AT8" s="9">
        <v>600</v>
      </c>
      <c r="AU8" s="9">
        <v>2300</v>
      </c>
      <c r="AV8" s="9">
        <v>3000</v>
      </c>
      <c r="AW8" s="9">
        <v>5000</v>
      </c>
      <c r="AX8" s="11"/>
      <c r="AY8" s="68">
        <v>1980</v>
      </c>
      <c r="AZ8" s="68">
        <v>20000</v>
      </c>
      <c r="BA8" s="10"/>
      <c r="BB8" s="68">
        <v>7500</v>
      </c>
      <c r="BC8" s="68">
        <v>4000</v>
      </c>
      <c r="BD8" s="68">
        <v>3000</v>
      </c>
      <c r="BE8" s="19"/>
      <c r="BF8" s="20" t="s">
        <v>26</v>
      </c>
      <c r="BG8" s="10">
        <v>58800</v>
      </c>
      <c r="BH8" s="11"/>
      <c r="BI8" s="28"/>
      <c r="BJ8" s="26"/>
      <c r="BL8" s="9">
        <v>8300</v>
      </c>
      <c r="BM8" s="9">
        <v>2500</v>
      </c>
      <c r="BN8" s="9">
        <v>2000</v>
      </c>
      <c r="BO8" s="9">
        <v>4000</v>
      </c>
      <c r="BP8" s="9">
        <v>5700</v>
      </c>
      <c r="BQ8" s="9">
        <v>4500</v>
      </c>
      <c r="BR8" s="9">
        <v>2500</v>
      </c>
      <c r="BS8" s="11"/>
      <c r="BT8" s="68">
        <v>10000</v>
      </c>
      <c r="BU8" s="68">
        <v>33000</v>
      </c>
      <c r="BV8" s="68">
        <v>21000</v>
      </c>
      <c r="BW8" s="74">
        <v>2100</v>
      </c>
      <c r="BX8" s="68">
        <v>3000</v>
      </c>
      <c r="BY8" s="68">
        <v>5000</v>
      </c>
      <c r="BZ8" s="10"/>
      <c r="CA8" s="19"/>
      <c r="CB8" s="20" t="s">
        <v>18</v>
      </c>
      <c r="CC8" s="10">
        <v>529600</v>
      </c>
      <c r="CD8" s="11"/>
      <c r="CE8" s="28"/>
      <c r="CF8" s="26"/>
      <c r="CH8" s="9">
        <v>12000</v>
      </c>
      <c r="CI8" s="9">
        <v>1600</v>
      </c>
      <c r="CJ8" s="9">
        <v>133000</v>
      </c>
      <c r="CK8" s="9">
        <v>8500</v>
      </c>
      <c r="CL8" s="9">
        <v>3000</v>
      </c>
      <c r="CM8" s="9">
        <v>4500</v>
      </c>
      <c r="CN8" s="9">
        <v>1500</v>
      </c>
      <c r="CO8" s="11"/>
      <c r="CP8" s="68">
        <v>14500</v>
      </c>
      <c r="CQ8" s="68">
        <v>4000</v>
      </c>
      <c r="CR8" s="68">
        <v>3000</v>
      </c>
      <c r="CS8" s="68">
        <v>23000</v>
      </c>
      <c r="CT8" s="68">
        <v>3360</v>
      </c>
      <c r="CU8" s="68">
        <v>5000</v>
      </c>
      <c r="CV8" s="19"/>
      <c r="CW8" s="20" t="s">
        <v>86</v>
      </c>
      <c r="CX8" s="10">
        <v>152300</v>
      </c>
      <c r="CY8" s="11"/>
      <c r="CZ8" s="28"/>
      <c r="DA8" s="26"/>
      <c r="DC8" s="40"/>
      <c r="DD8" s="52"/>
      <c r="DE8" s="53"/>
      <c r="DF8" s="54"/>
    </row>
    <row r="9" ht="15" customHeight="1" spans="1:110">
      <c r="A9" s="9">
        <v>64000</v>
      </c>
      <c r="B9" s="9">
        <v>6000</v>
      </c>
      <c r="C9" s="9"/>
      <c r="D9" s="9"/>
      <c r="E9" s="9"/>
      <c r="F9" s="9"/>
      <c r="G9" s="9"/>
      <c r="H9" s="11"/>
      <c r="I9" s="68">
        <v>30260</v>
      </c>
      <c r="J9" s="10"/>
      <c r="K9" s="10"/>
      <c r="L9" s="68">
        <v>83000</v>
      </c>
      <c r="M9" s="68">
        <v>9000</v>
      </c>
      <c r="N9" s="10"/>
      <c r="O9" s="19"/>
      <c r="P9" s="20"/>
      <c r="Q9" s="10"/>
      <c r="R9" s="11"/>
      <c r="S9" s="29" t="s">
        <v>33</v>
      </c>
      <c r="T9" s="30">
        <f>T3+T5</f>
        <v>1413800</v>
      </c>
      <c r="U9" s="24"/>
      <c r="V9" s="9">
        <v>6000</v>
      </c>
      <c r="W9" s="9">
        <v>2300</v>
      </c>
      <c r="X9" s="9">
        <v>3400</v>
      </c>
      <c r="Y9" s="9">
        <v>600</v>
      </c>
      <c r="Z9" s="9">
        <v>4600</v>
      </c>
      <c r="AA9" s="9">
        <v>4500</v>
      </c>
      <c r="AB9" s="9">
        <v>250000</v>
      </c>
      <c r="AC9" s="11"/>
      <c r="AD9" s="68">
        <v>14410</v>
      </c>
      <c r="AE9" s="68">
        <v>2300</v>
      </c>
      <c r="AF9" s="10"/>
      <c r="AG9" s="68">
        <v>500</v>
      </c>
      <c r="AH9" s="10"/>
      <c r="AI9" s="10"/>
      <c r="AJ9" s="19"/>
      <c r="AK9" s="20" t="s">
        <v>49</v>
      </c>
      <c r="AL9" s="10">
        <v>235140</v>
      </c>
      <c r="AM9" s="11"/>
      <c r="AN9" s="29" t="s">
        <v>33</v>
      </c>
      <c r="AO9" s="30">
        <f>AO3+AO5</f>
        <v>4912220</v>
      </c>
      <c r="AQ9" s="9">
        <v>18900</v>
      </c>
      <c r="AR9" s="9">
        <v>4500</v>
      </c>
      <c r="AS9" s="9">
        <v>8000</v>
      </c>
      <c r="AT9" s="9">
        <v>6000</v>
      </c>
      <c r="AU9" s="9">
        <v>17200</v>
      </c>
      <c r="AV9" s="9">
        <v>500</v>
      </c>
      <c r="AW9" s="9">
        <v>7000</v>
      </c>
      <c r="AX9" s="11"/>
      <c r="AY9" s="68">
        <v>9420</v>
      </c>
      <c r="AZ9" s="68">
        <v>2500</v>
      </c>
      <c r="BA9" s="10"/>
      <c r="BB9" s="68">
        <v>11500</v>
      </c>
      <c r="BC9" s="68">
        <v>2500</v>
      </c>
      <c r="BD9" s="68">
        <v>5000</v>
      </c>
      <c r="BE9" s="19"/>
      <c r="BF9" s="20" t="s">
        <v>34</v>
      </c>
      <c r="BG9" s="10">
        <v>160000</v>
      </c>
      <c r="BH9" s="11"/>
      <c r="BI9" s="29" t="s">
        <v>33</v>
      </c>
      <c r="BJ9" s="30">
        <f>BJ3+BJ5</f>
        <v>4796130</v>
      </c>
      <c r="BL9" s="9">
        <v>4000</v>
      </c>
      <c r="BM9" s="9">
        <v>2000</v>
      </c>
      <c r="BN9" s="9">
        <v>5000</v>
      </c>
      <c r="BO9" s="9">
        <v>8000</v>
      </c>
      <c r="BP9" s="9">
        <v>8000</v>
      </c>
      <c r="BQ9" s="9">
        <v>5000</v>
      </c>
      <c r="BR9" s="9">
        <v>27500</v>
      </c>
      <c r="BS9" s="11"/>
      <c r="BT9" s="68">
        <v>6000</v>
      </c>
      <c r="BU9" s="68">
        <v>2000</v>
      </c>
      <c r="BV9" s="68">
        <v>29600</v>
      </c>
      <c r="BW9" s="74">
        <v>200</v>
      </c>
      <c r="BX9" s="68">
        <v>24000</v>
      </c>
      <c r="BY9" s="68">
        <v>8500</v>
      </c>
      <c r="BZ9" s="10"/>
      <c r="CA9" s="19"/>
      <c r="CB9" s="20" t="s">
        <v>82</v>
      </c>
      <c r="CC9" s="10">
        <v>10000</v>
      </c>
      <c r="CD9" s="11"/>
      <c r="CE9" s="29" t="s">
        <v>33</v>
      </c>
      <c r="CF9" s="30">
        <f>CF3+CF5</f>
        <v>4049210</v>
      </c>
      <c r="CH9" s="9">
        <v>2500</v>
      </c>
      <c r="CI9" s="9">
        <v>6200</v>
      </c>
      <c r="CJ9" s="9">
        <v>2500</v>
      </c>
      <c r="CK9" s="9">
        <v>24000</v>
      </c>
      <c r="CL9" s="9">
        <v>6400</v>
      </c>
      <c r="CM9" s="9">
        <v>2000</v>
      </c>
      <c r="CN9" s="9">
        <v>18000</v>
      </c>
      <c r="CO9" s="11"/>
      <c r="CP9" s="68">
        <v>7500</v>
      </c>
      <c r="CQ9" s="68">
        <v>6000</v>
      </c>
      <c r="CR9" s="68">
        <v>19500</v>
      </c>
      <c r="CS9" s="68">
        <v>43700</v>
      </c>
      <c r="CT9" s="68">
        <v>3000</v>
      </c>
      <c r="CU9" s="68">
        <v>6000</v>
      </c>
      <c r="CV9" s="19"/>
      <c r="CW9" s="20" t="s">
        <v>87</v>
      </c>
      <c r="CX9" s="10">
        <v>614000</v>
      </c>
      <c r="CY9" s="11"/>
      <c r="CZ9" s="29" t="s">
        <v>33</v>
      </c>
      <c r="DA9" s="30">
        <f>DA3+DA5</f>
        <v>3949200</v>
      </c>
      <c r="DC9" s="41" t="s">
        <v>33</v>
      </c>
      <c r="DD9" s="55"/>
      <c r="DE9" s="56">
        <f>DE3+DE5</f>
        <v>19120560</v>
      </c>
      <c r="DF9" s="57"/>
    </row>
    <row r="10" ht="15" customHeight="1" spans="1:110">
      <c r="A10" s="9">
        <v>3600</v>
      </c>
      <c r="B10" s="9">
        <v>2000</v>
      </c>
      <c r="C10" s="9"/>
      <c r="D10" s="9"/>
      <c r="E10" s="9"/>
      <c r="F10" s="9"/>
      <c r="G10" s="9"/>
      <c r="H10" s="11"/>
      <c r="I10" s="68">
        <v>36500</v>
      </c>
      <c r="J10" s="10"/>
      <c r="K10" s="10"/>
      <c r="L10" s="68">
        <v>5500</v>
      </c>
      <c r="M10" s="68">
        <v>6000</v>
      </c>
      <c r="N10" s="10"/>
      <c r="O10" s="19"/>
      <c r="P10" s="20"/>
      <c r="Q10" s="10"/>
      <c r="R10" s="11"/>
      <c r="S10" s="29" t="s">
        <v>36</v>
      </c>
      <c r="T10" s="30">
        <f>T1+T3+T5-T7+T15+T16</f>
        <v>1594780</v>
      </c>
      <c r="U10" s="24"/>
      <c r="V10" s="9">
        <v>3600</v>
      </c>
      <c r="W10" s="9">
        <v>3500</v>
      </c>
      <c r="X10" s="9">
        <v>1500</v>
      </c>
      <c r="Y10" s="9">
        <v>450</v>
      </c>
      <c r="Z10" s="9">
        <v>3000</v>
      </c>
      <c r="AA10" s="9">
        <v>3300</v>
      </c>
      <c r="AB10" s="9">
        <v>2000</v>
      </c>
      <c r="AC10" s="11"/>
      <c r="AD10" s="68">
        <v>2500</v>
      </c>
      <c r="AE10" s="68">
        <v>31000</v>
      </c>
      <c r="AF10" s="10"/>
      <c r="AG10" s="68">
        <v>13000</v>
      </c>
      <c r="AH10" s="10"/>
      <c r="AI10" s="10"/>
      <c r="AJ10" s="19"/>
      <c r="AK10" s="20" t="s">
        <v>5</v>
      </c>
      <c r="AL10" s="10">
        <v>474200</v>
      </c>
      <c r="AM10" s="11"/>
      <c r="AN10" s="29" t="s">
        <v>36</v>
      </c>
      <c r="AO10" s="30">
        <f>AO1+AO3+AO5-AO7+AO15+AO16</f>
        <v>3265300</v>
      </c>
      <c r="AQ10" s="9">
        <v>20000</v>
      </c>
      <c r="AR10" s="9">
        <v>4500</v>
      </c>
      <c r="AS10" s="9">
        <v>2700</v>
      </c>
      <c r="AT10" s="9">
        <v>7600</v>
      </c>
      <c r="AU10" s="9">
        <v>27200</v>
      </c>
      <c r="AV10" s="9">
        <v>10000</v>
      </c>
      <c r="AW10" s="9">
        <v>15500</v>
      </c>
      <c r="AX10" s="11"/>
      <c r="AY10" s="68">
        <v>4500</v>
      </c>
      <c r="AZ10" s="68">
        <v>1000</v>
      </c>
      <c r="BA10" s="10"/>
      <c r="BB10" s="68">
        <v>10000</v>
      </c>
      <c r="BC10" s="68">
        <v>6000</v>
      </c>
      <c r="BD10" s="68">
        <v>6000</v>
      </c>
      <c r="BE10" s="19"/>
      <c r="BF10" s="20" t="s">
        <v>18</v>
      </c>
      <c r="BG10" s="10">
        <v>858300</v>
      </c>
      <c r="BH10" s="11"/>
      <c r="BI10" s="29" t="s">
        <v>36</v>
      </c>
      <c r="BJ10" s="30">
        <f>BJ1+BJ3+BJ5-BJ7+BJ15+BJ16</f>
        <v>37930</v>
      </c>
      <c r="BL10" s="9">
        <v>2000</v>
      </c>
      <c r="BM10" s="9">
        <v>15000</v>
      </c>
      <c r="BN10" s="9">
        <v>3000</v>
      </c>
      <c r="BO10" s="9">
        <v>2000</v>
      </c>
      <c r="BP10" s="9">
        <v>4000</v>
      </c>
      <c r="BQ10" s="9">
        <v>7000</v>
      </c>
      <c r="BR10" s="9">
        <v>2000</v>
      </c>
      <c r="BS10" s="11"/>
      <c r="BT10" s="68">
        <v>3650</v>
      </c>
      <c r="BU10" s="68">
        <v>1500</v>
      </c>
      <c r="BV10" s="68">
        <v>4060</v>
      </c>
      <c r="BW10" s="74">
        <v>3500</v>
      </c>
      <c r="BX10" s="68">
        <v>1500</v>
      </c>
      <c r="BY10" s="68">
        <v>3500</v>
      </c>
      <c r="BZ10" s="10"/>
      <c r="CA10" s="19"/>
      <c r="CB10" s="20" t="s">
        <v>34</v>
      </c>
      <c r="CC10" s="10">
        <v>128000</v>
      </c>
      <c r="CD10" s="11"/>
      <c r="CE10" s="29" t="s">
        <v>36</v>
      </c>
      <c r="CF10" s="30">
        <f>CF1+CF3+CF5-CF7+CF15+CF16</f>
        <v>860464</v>
      </c>
      <c r="CH10" s="9">
        <v>3000</v>
      </c>
      <c r="CI10" s="9">
        <v>16500</v>
      </c>
      <c r="CJ10" s="9">
        <v>1600</v>
      </c>
      <c r="CK10" s="9">
        <v>2000</v>
      </c>
      <c r="CL10" s="9">
        <v>3500</v>
      </c>
      <c r="CM10" s="9">
        <v>9000</v>
      </c>
      <c r="CN10" s="9">
        <v>4500</v>
      </c>
      <c r="CO10" s="11"/>
      <c r="CP10" s="68">
        <v>36950</v>
      </c>
      <c r="CQ10" s="68">
        <v>4000</v>
      </c>
      <c r="CR10" s="68">
        <v>5000</v>
      </c>
      <c r="CS10" s="68">
        <v>10000</v>
      </c>
      <c r="CT10" s="68">
        <v>24000</v>
      </c>
      <c r="CU10" s="68">
        <v>500</v>
      </c>
      <c r="CV10" s="19"/>
      <c r="CW10" s="20" t="s">
        <v>67</v>
      </c>
      <c r="CX10" s="10">
        <v>66400</v>
      </c>
      <c r="CY10" s="11"/>
      <c r="CZ10" s="29" t="s">
        <v>36</v>
      </c>
      <c r="DA10" s="30">
        <f>DA1+DA3+DA5-DA7+DA15+DA16</f>
        <v>2311160</v>
      </c>
      <c r="DC10" s="42"/>
      <c r="DD10" s="58"/>
      <c r="DE10" s="59"/>
      <c r="DF10" s="60"/>
    </row>
    <row r="11" ht="15" customHeight="1" spans="1:110">
      <c r="A11" s="9">
        <v>600</v>
      </c>
      <c r="B11" s="9">
        <v>21000</v>
      </c>
      <c r="C11" s="9"/>
      <c r="D11" s="9"/>
      <c r="E11" s="9"/>
      <c r="F11" s="9"/>
      <c r="G11" s="9"/>
      <c r="H11" s="11"/>
      <c r="I11" s="68">
        <v>55900</v>
      </c>
      <c r="J11" s="10"/>
      <c r="K11" s="10"/>
      <c r="L11" s="68">
        <v>1500</v>
      </c>
      <c r="M11" s="68">
        <v>10600</v>
      </c>
      <c r="N11" s="10"/>
      <c r="O11" s="19"/>
      <c r="P11" s="20"/>
      <c r="Q11" s="10"/>
      <c r="R11" s="11"/>
      <c r="S11" s="29" t="s">
        <v>40</v>
      </c>
      <c r="T11" s="30">
        <f>T9/7</f>
        <v>201971.428571429</v>
      </c>
      <c r="U11" s="24"/>
      <c r="V11" s="9">
        <v>14000</v>
      </c>
      <c r="W11" s="9">
        <v>1000</v>
      </c>
      <c r="X11" s="9">
        <v>1500</v>
      </c>
      <c r="Y11" s="9">
        <v>5500</v>
      </c>
      <c r="Z11" s="9">
        <v>9000</v>
      </c>
      <c r="AA11" s="9">
        <v>1500</v>
      </c>
      <c r="AB11" s="9">
        <v>8000</v>
      </c>
      <c r="AC11" s="11"/>
      <c r="AD11" s="68">
        <v>6730</v>
      </c>
      <c r="AE11" s="68">
        <v>10000</v>
      </c>
      <c r="AF11" s="10"/>
      <c r="AG11" s="68">
        <v>7500</v>
      </c>
      <c r="AH11" s="10"/>
      <c r="AI11" s="10"/>
      <c r="AJ11" s="19"/>
      <c r="AK11" s="20" t="s">
        <v>88</v>
      </c>
      <c r="AL11" s="10">
        <v>18000</v>
      </c>
      <c r="AM11" s="11"/>
      <c r="AN11" s="29" t="s">
        <v>40</v>
      </c>
      <c r="AO11" s="30">
        <f>AO9/7</f>
        <v>701745.714285714</v>
      </c>
      <c r="AQ11" s="9">
        <v>36500</v>
      </c>
      <c r="AR11" s="9">
        <v>1000</v>
      </c>
      <c r="AS11" s="9">
        <v>2000</v>
      </c>
      <c r="AT11" s="9">
        <v>1000</v>
      </c>
      <c r="AU11" s="9">
        <v>6000</v>
      </c>
      <c r="AV11" s="9">
        <v>5000</v>
      </c>
      <c r="AW11" s="9">
        <v>5000</v>
      </c>
      <c r="AX11" s="11"/>
      <c r="AY11" s="68">
        <v>7210</v>
      </c>
      <c r="AZ11" s="68">
        <v>100</v>
      </c>
      <c r="BA11" s="10"/>
      <c r="BB11" s="68">
        <v>18600</v>
      </c>
      <c r="BC11" s="68">
        <v>17000</v>
      </c>
      <c r="BD11" s="10"/>
      <c r="BE11" s="19"/>
      <c r="BF11" s="20" t="s">
        <v>28</v>
      </c>
      <c r="BG11" s="10">
        <v>500000</v>
      </c>
      <c r="BH11" s="11"/>
      <c r="BI11" s="29" t="s">
        <v>40</v>
      </c>
      <c r="BJ11" s="30">
        <f>BJ9/7</f>
        <v>685161.428571429</v>
      </c>
      <c r="BL11" s="9">
        <v>5000</v>
      </c>
      <c r="BM11" s="9">
        <v>4000</v>
      </c>
      <c r="BN11" s="9">
        <v>2000</v>
      </c>
      <c r="BO11" s="9">
        <v>17000</v>
      </c>
      <c r="BP11" s="9">
        <v>2000</v>
      </c>
      <c r="BQ11" s="9">
        <v>5000</v>
      </c>
      <c r="BR11" s="9">
        <v>2500</v>
      </c>
      <c r="BS11" s="11"/>
      <c r="BT11" s="68">
        <v>32780</v>
      </c>
      <c r="BU11" s="68">
        <v>20790</v>
      </c>
      <c r="BV11" s="68">
        <v>8000</v>
      </c>
      <c r="BW11" s="74">
        <v>3200</v>
      </c>
      <c r="BX11" s="68">
        <v>10100</v>
      </c>
      <c r="BY11" s="68">
        <v>4000</v>
      </c>
      <c r="BZ11" s="10"/>
      <c r="CA11" s="19"/>
      <c r="CB11" s="20" t="s">
        <v>89</v>
      </c>
      <c r="CC11" s="10">
        <v>286600</v>
      </c>
      <c r="CD11" s="11"/>
      <c r="CE11" s="29" t="s">
        <v>40</v>
      </c>
      <c r="CF11" s="30">
        <f>CF9/7</f>
        <v>578458.571428571</v>
      </c>
      <c r="CH11" s="9">
        <v>6000</v>
      </c>
      <c r="CI11" s="9">
        <v>1000</v>
      </c>
      <c r="CJ11" s="9">
        <v>4000</v>
      </c>
      <c r="CK11" s="9">
        <v>14000</v>
      </c>
      <c r="CL11" s="9">
        <v>6500</v>
      </c>
      <c r="CM11" s="9">
        <v>6500</v>
      </c>
      <c r="CN11" s="9">
        <v>1500</v>
      </c>
      <c r="CO11" s="11"/>
      <c r="CP11" s="68">
        <v>30000</v>
      </c>
      <c r="CQ11" s="68">
        <v>300</v>
      </c>
      <c r="CR11" s="68">
        <v>20000</v>
      </c>
      <c r="CS11" s="68">
        <v>25940</v>
      </c>
      <c r="CT11" s="68">
        <v>3000</v>
      </c>
      <c r="CU11" s="68">
        <v>7500</v>
      </c>
      <c r="CV11" s="19"/>
      <c r="CW11" s="20"/>
      <c r="CX11" s="10"/>
      <c r="CY11" s="11"/>
      <c r="CZ11" s="29" t="s">
        <v>40</v>
      </c>
      <c r="DA11" s="30">
        <f>DA9/7</f>
        <v>564171.428571429</v>
      </c>
      <c r="DC11" s="43" t="s">
        <v>36</v>
      </c>
      <c r="DD11" s="61"/>
      <c r="DE11" s="62">
        <f>DE9-DE7</f>
        <v>4771564</v>
      </c>
      <c r="DF11" s="63"/>
    </row>
    <row r="12" ht="15" customHeight="1" spans="1:110">
      <c r="A12" s="9">
        <v>4500</v>
      </c>
      <c r="B12" s="9">
        <v>7300</v>
      </c>
      <c r="C12" s="9"/>
      <c r="D12" s="9"/>
      <c r="E12" s="9"/>
      <c r="F12" s="9"/>
      <c r="G12" s="9"/>
      <c r="H12" s="11"/>
      <c r="I12" s="68">
        <v>5590</v>
      </c>
      <c r="J12" s="10"/>
      <c r="K12" s="10"/>
      <c r="L12" s="68">
        <v>1400</v>
      </c>
      <c r="M12" s="68">
        <v>18000</v>
      </c>
      <c r="N12" s="10"/>
      <c r="O12" s="19"/>
      <c r="P12" s="20"/>
      <c r="Q12" s="10"/>
      <c r="R12" s="11"/>
      <c r="S12" s="24"/>
      <c r="T12" s="24"/>
      <c r="U12" s="24"/>
      <c r="V12" s="9">
        <v>2500</v>
      </c>
      <c r="W12" s="9">
        <v>5500</v>
      </c>
      <c r="X12" s="9">
        <v>3000</v>
      </c>
      <c r="Y12" s="9">
        <v>150000</v>
      </c>
      <c r="Z12" s="9">
        <v>9000</v>
      </c>
      <c r="AA12" s="9">
        <v>2500</v>
      </c>
      <c r="AB12" s="9">
        <v>1000</v>
      </c>
      <c r="AC12" s="11"/>
      <c r="AD12" s="68">
        <v>21710</v>
      </c>
      <c r="AE12" s="68">
        <v>7580</v>
      </c>
      <c r="AF12" s="10"/>
      <c r="AG12" s="68">
        <v>1000</v>
      </c>
      <c r="AH12" s="10"/>
      <c r="AI12" s="10"/>
      <c r="AJ12" s="19"/>
      <c r="AK12" s="20" t="s">
        <v>18</v>
      </c>
      <c r="AL12" s="10">
        <v>526100</v>
      </c>
      <c r="AM12" s="11"/>
      <c r="AN12" s="24"/>
      <c r="AO12" s="24"/>
      <c r="AQ12" s="9">
        <v>2500</v>
      </c>
      <c r="AR12" s="9">
        <v>3400</v>
      </c>
      <c r="AS12" s="9">
        <v>2500</v>
      </c>
      <c r="AT12" s="9">
        <v>3000</v>
      </c>
      <c r="AU12" s="9">
        <v>1000</v>
      </c>
      <c r="AV12" s="9">
        <v>4500</v>
      </c>
      <c r="AW12" s="9">
        <v>2800</v>
      </c>
      <c r="AX12" s="11"/>
      <c r="AY12" s="68">
        <v>100</v>
      </c>
      <c r="AZ12" s="68">
        <v>4500</v>
      </c>
      <c r="BA12" s="10"/>
      <c r="BB12" s="68">
        <v>7000</v>
      </c>
      <c r="BC12" s="68">
        <v>19000</v>
      </c>
      <c r="BD12" s="10"/>
      <c r="BE12" s="19"/>
      <c r="BF12" s="20" t="s">
        <v>28</v>
      </c>
      <c r="BG12" s="10">
        <v>473770</v>
      </c>
      <c r="BH12" s="11"/>
      <c r="BI12" s="24"/>
      <c r="BJ12" s="24">
        <v>400000</v>
      </c>
      <c r="BL12" s="9">
        <v>11000</v>
      </c>
      <c r="BM12" s="9">
        <v>4000</v>
      </c>
      <c r="BN12" s="9">
        <v>5000</v>
      </c>
      <c r="BO12" s="9">
        <v>20000</v>
      </c>
      <c r="BP12" s="9">
        <v>11000</v>
      </c>
      <c r="BQ12" s="9">
        <v>5500</v>
      </c>
      <c r="BR12" s="9">
        <v>4000</v>
      </c>
      <c r="BS12" s="11"/>
      <c r="BT12" s="68">
        <v>2500</v>
      </c>
      <c r="BU12" s="68">
        <v>4000</v>
      </c>
      <c r="BV12" s="68">
        <v>7000</v>
      </c>
      <c r="BW12" s="74">
        <v>3200</v>
      </c>
      <c r="BX12" s="68">
        <v>13000</v>
      </c>
      <c r="BY12" s="68">
        <v>1000</v>
      </c>
      <c r="BZ12" s="10"/>
      <c r="CA12" s="19"/>
      <c r="CB12" s="20" t="s">
        <v>87</v>
      </c>
      <c r="CC12" s="10">
        <v>600000</v>
      </c>
      <c r="CD12" s="11"/>
      <c r="CE12" s="24"/>
      <c r="CF12" s="24"/>
      <c r="CG12" s="24"/>
      <c r="CH12" s="9">
        <v>8000</v>
      </c>
      <c r="CI12" s="9">
        <v>3500</v>
      </c>
      <c r="CJ12" s="9">
        <v>1000</v>
      </c>
      <c r="CK12" s="9">
        <v>7000</v>
      </c>
      <c r="CL12" s="9">
        <v>5000</v>
      </c>
      <c r="CM12" s="9">
        <v>4000</v>
      </c>
      <c r="CN12" s="9">
        <v>4500</v>
      </c>
      <c r="CO12" s="11"/>
      <c r="CP12" s="68">
        <v>14200</v>
      </c>
      <c r="CQ12" s="68">
        <v>2700</v>
      </c>
      <c r="CR12" s="68">
        <v>2500</v>
      </c>
      <c r="CS12" s="68">
        <v>26500</v>
      </c>
      <c r="CT12" s="68">
        <v>59090</v>
      </c>
      <c r="CU12" s="68">
        <v>3100</v>
      </c>
      <c r="CV12" s="19"/>
      <c r="CW12" s="20"/>
      <c r="CX12" s="10"/>
      <c r="CY12" s="11"/>
      <c r="CZ12" s="24"/>
      <c r="DA12" s="24"/>
      <c r="DC12" s="44"/>
      <c r="DD12" s="64"/>
      <c r="DE12" s="65"/>
      <c r="DF12" s="66"/>
    </row>
    <row r="13" spans="1:105">
      <c r="A13" s="9">
        <v>5500</v>
      </c>
      <c r="B13" s="9">
        <v>8500</v>
      </c>
      <c r="C13" s="9"/>
      <c r="D13" s="9"/>
      <c r="E13" s="9"/>
      <c r="F13" s="9"/>
      <c r="G13" s="9"/>
      <c r="H13" s="11"/>
      <c r="I13" s="68">
        <v>4800</v>
      </c>
      <c r="J13" s="10"/>
      <c r="K13" s="10"/>
      <c r="L13" s="68">
        <v>19500</v>
      </c>
      <c r="M13" s="68">
        <v>13700</v>
      </c>
      <c r="N13" s="10"/>
      <c r="O13" s="19"/>
      <c r="P13" s="20"/>
      <c r="Q13" s="10"/>
      <c r="R13" s="11"/>
      <c r="S13" s="24"/>
      <c r="T13" s="31"/>
      <c r="U13" s="24"/>
      <c r="V13" s="9">
        <v>5000</v>
      </c>
      <c r="W13" s="9">
        <v>39000</v>
      </c>
      <c r="X13" s="9">
        <v>6500</v>
      </c>
      <c r="Y13" s="9">
        <v>2500</v>
      </c>
      <c r="Z13" s="9">
        <v>3200</v>
      </c>
      <c r="AA13" s="9">
        <v>22000</v>
      </c>
      <c r="AB13" s="9">
        <v>2000</v>
      </c>
      <c r="AC13" s="11"/>
      <c r="AD13" s="68">
        <v>12010</v>
      </c>
      <c r="AE13" s="68">
        <v>225010</v>
      </c>
      <c r="AF13" s="10"/>
      <c r="AG13" s="68">
        <v>3500</v>
      </c>
      <c r="AH13" s="10"/>
      <c r="AI13" s="10"/>
      <c r="AJ13" s="19"/>
      <c r="AK13" s="20" t="s">
        <v>87</v>
      </c>
      <c r="AL13" s="10">
        <v>361530</v>
      </c>
      <c r="AM13" s="11"/>
      <c r="AN13" s="24"/>
      <c r="AO13" s="31"/>
      <c r="AQ13" s="9">
        <v>600</v>
      </c>
      <c r="AR13" s="9">
        <v>800</v>
      </c>
      <c r="AS13" s="9">
        <v>900</v>
      </c>
      <c r="AT13" s="9">
        <v>1500</v>
      </c>
      <c r="AU13" s="9">
        <v>8500</v>
      </c>
      <c r="AV13" s="9">
        <v>2500</v>
      </c>
      <c r="AW13" s="9">
        <v>1500</v>
      </c>
      <c r="AX13" s="11"/>
      <c r="AY13" s="68">
        <v>4000</v>
      </c>
      <c r="AZ13" s="68">
        <v>7000</v>
      </c>
      <c r="BA13" s="10"/>
      <c r="BB13" s="68">
        <v>8500</v>
      </c>
      <c r="BC13" s="68">
        <v>9000</v>
      </c>
      <c r="BD13" s="10"/>
      <c r="BE13" s="19"/>
      <c r="BF13" s="20" t="s">
        <v>90</v>
      </c>
      <c r="BG13" s="10">
        <v>37600</v>
      </c>
      <c r="BH13" s="11"/>
      <c r="BI13" s="24" t="s">
        <v>7</v>
      </c>
      <c r="BJ13" s="31">
        <v>34600</v>
      </c>
      <c r="BL13" s="9">
        <v>4000</v>
      </c>
      <c r="BM13" s="9">
        <v>11500</v>
      </c>
      <c r="BN13" s="9">
        <v>5000</v>
      </c>
      <c r="BO13" s="9">
        <v>3000</v>
      </c>
      <c r="BP13" s="9">
        <v>3000</v>
      </c>
      <c r="BQ13" s="9">
        <v>5000</v>
      </c>
      <c r="BR13" s="9">
        <v>12000</v>
      </c>
      <c r="BS13" s="11"/>
      <c r="BT13" s="68">
        <v>5860</v>
      </c>
      <c r="BU13" s="68">
        <v>45490</v>
      </c>
      <c r="BV13" s="68">
        <v>26000</v>
      </c>
      <c r="BW13" s="74">
        <v>28300</v>
      </c>
      <c r="BX13" s="68">
        <v>8500</v>
      </c>
      <c r="BY13" s="68">
        <v>2500</v>
      </c>
      <c r="BZ13" s="10"/>
      <c r="CA13" s="19"/>
      <c r="CB13" s="20" t="s">
        <v>12</v>
      </c>
      <c r="CC13" s="10">
        <v>190000</v>
      </c>
      <c r="CD13" s="11"/>
      <c r="CE13" s="24"/>
      <c r="CF13" s="31">
        <v>128000</v>
      </c>
      <c r="CG13" s="31"/>
      <c r="CH13" s="9">
        <v>24000</v>
      </c>
      <c r="CI13" s="9">
        <v>7000</v>
      </c>
      <c r="CJ13" s="9">
        <v>4000</v>
      </c>
      <c r="CK13" s="9">
        <v>1000</v>
      </c>
      <c r="CL13" s="9">
        <v>4500</v>
      </c>
      <c r="CM13" s="9">
        <v>1000</v>
      </c>
      <c r="CN13" s="9">
        <v>1000</v>
      </c>
      <c r="CO13" s="11"/>
      <c r="CP13" s="68">
        <v>12470</v>
      </c>
      <c r="CQ13" s="68">
        <v>7620</v>
      </c>
      <c r="CR13" s="68">
        <v>3600</v>
      </c>
      <c r="CS13" s="68">
        <v>2000</v>
      </c>
      <c r="CT13" s="68">
        <v>3420</v>
      </c>
      <c r="CU13" s="68">
        <v>2200</v>
      </c>
      <c r="CV13" s="19"/>
      <c r="CW13" s="20"/>
      <c r="CX13" s="10"/>
      <c r="CY13" s="11"/>
      <c r="CZ13" s="24"/>
      <c r="DA13" s="31"/>
    </row>
    <row r="14" spans="1:105">
      <c r="A14" s="9">
        <v>1000</v>
      </c>
      <c r="B14" s="9">
        <v>900</v>
      </c>
      <c r="C14" s="9"/>
      <c r="D14" s="9"/>
      <c r="E14" s="9"/>
      <c r="F14" s="9"/>
      <c r="G14" s="9"/>
      <c r="H14" s="11"/>
      <c r="I14" s="68">
        <v>8870</v>
      </c>
      <c r="J14" s="10"/>
      <c r="K14" s="10"/>
      <c r="L14" s="68">
        <v>3800</v>
      </c>
      <c r="M14" s="68">
        <v>800</v>
      </c>
      <c r="N14" s="10"/>
      <c r="O14" s="19"/>
      <c r="P14" s="20"/>
      <c r="Q14" s="10"/>
      <c r="R14" s="11"/>
      <c r="S14" s="24"/>
      <c r="T14" s="24">
        <v>128720</v>
      </c>
      <c r="U14" s="24"/>
      <c r="V14" s="9">
        <v>2500</v>
      </c>
      <c r="W14" s="9">
        <v>6000</v>
      </c>
      <c r="X14" s="9">
        <v>6000</v>
      </c>
      <c r="Y14" s="9">
        <v>2000</v>
      </c>
      <c r="Z14" s="9">
        <v>2500</v>
      </c>
      <c r="AA14" s="9">
        <v>3000</v>
      </c>
      <c r="AB14" s="9"/>
      <c r="AC14" s="11"/>
      <c r="AD14" s="68">
        <v>7690</v>
      </c>
      <c r="AE14" s="68">
        <v>3400</v>
      </c>
      <c r="AF14" s="10"/>
      <c r="AG14" s="68">
        <v>20000</v>
      </c>
      <c r="AH14" s="10"/>
      <c r="AI14" s="10"/>
      <c r="AJ14" s="19"/>
      <c r="AK14" s="20" t="s">
        <v>49</v>
      </c>
      <c r="AL14" s="10">
        <v>22200</v>
      </c>
      <c r="AM14" s="11"/>
      <c r="AN14" s="24"/>
      <c r="AO14" s="24"/>
      <c r="AQ14" s="9">
        <v>3800</v>
      </c>
      <c r="AR14" s="9">
        <v>3500</v>
      </c>
      <c r="AS14" s="9">
        <v>1500</v>
      </c>
      <c r="AT14" s="9">
        <v>25800</v>
      </c>
      <c r="AU14" s="9">
        <v>10240</v>
      </c>
      <c r="AV14" s="9">
        <v>4000</v>
      </c>
      <c r="AW14" s="9">
        <v>13000</v>
      </c>
      <c r="AX14" s="11"/>
      <c r="AY14" s="68">
        <v>2000</v>
      </c>
      <c r="AZ14" s="68">
        <v>4500</v>
      </c>
      <c r="BA14" s="10"/>
      <c r="BB14" s="68">
        <v>12000</v>
      </c>
      <c r="BC14" s="68">
        <v>1000</v>
      </c>
      <c r="BD14" s="10"/>
      <c r="BE14" s="19"/>
      <c r="BF14" s="20" t="s">
        <v>91</v>
      </c>
      <c r="BG14" s="10">
        <v>300000</v>
      </c>
      <c r="BH14" s="11"/>
      <c r="BI14" s="24"/>
      <c r="BJ14" s="24">
        <v>81750</v>
      </c>
      <c r="BL14" s="9">
        <v>500</v>
      </c>
      <c r="BM14" s="9">
        <v>2500</v>
      </c>
      <c r="BN14" s="9">
        <v>16000</v>
      </c>
      <c r="BO14" s="9">
        <v>5000</v>
      </c>
      <c r="BP14" s="9">
        <v>80000</v>
      </c>
      <c r="BQ14" s="9">
        <v>2500</v>
      </c>
      <c r="BR14" s="9">
        <v>8000</v>
      </c>
      <c r="BS14" s="11"/>
      <c r="BT14" s="68">
        <v>15240</v>
      </c>
      <c r="BU14" s="68">
        <v>3500</v>
      </c>
      <c r="BV14" s="68">
        <v>11000</v>
      </c>
      <c r="BW14" s="74">
        <v>6800</v>
      </c>
      <c r="BX14" s="68">
        <v>8000</v>
      </c>
      <c r="BY14" s="10"/>
      <c r="BZ14" s="10"/>
      <c r="CA14" s="19"/>
      <c r="CB14" s="20" t="s">
        <v>92</v>
      </c>
      <c r="CC14" s="10">
        <v>10000</v>
      </c>
      <c r="CD14" s="11"/>
      <c r="CE14" s="24"/>
      <c r="CF14" s="24">
        <v>251490</v>
      </c>
      <c r="CG14" s="24"/>
      <c r="CH14" s="9">
        <v>5000</v>
      </c>
      <c r="CI14" s="9">
        <v>1500</v>
      </c>
      <c r="CJ14" s="9">
        <v>4500</v>
      </c>
      <c r="CK14" s="9">
        <v>5000</v>
      </c>
      <c r="CL14" s="9">
        <v>1500</v>
      </c>
      <c r="CM14" s="9">
        <v>1000</v>
      </c>
      <c r="CN14" s="9">
        <v>1500</v>
      </c>
      <c r="CO14" s="11"/>
      <c r="CP14" s="68">
        <v>14200</v>
      </c>
      <c r="CQ14" s="68">
        <v>14800</v>
      </c>
      <c r="CR14" s="68">
        <v>2500</v>
      </c>
      <c r="CS14" s="68">
        <v>3000</v>
      </c>
      <c r="CT14" s="68">
        <v>2840</v>
      </c>
      <c r="CU14" s="68">
        <v>6000</v>
      </c>
      <c r="CV14" s="19"/>
      <c r="CW14" s="20"/>
      <c r="CX14" s="10"/>
      <c r="CY14" s="11"/>
      <c r="CZ14" s="24"/>
      <c r="DA14" s="24"/>
    </row>
    <row r="15" ht="15.75" customHeight="1" spans="1:105">
      <c r="A15" s="9">
        <v>3000</v>
      </c>
      <c r="B15" s="9">
        <v>4500</v>
      </c>
      <c r="C15" s="9"/>
      <c r="D15" s="9"/>
      <c r="E15" s="9"/>
      <c r="F15" s="9"/>
      <c r="G15" s="9"/>
      <c r="H15" s="11"/>
      <c r="I15" s="68">
        <v>36990</v>
      </c>
      <c r="J15" s="10"/>
      <c r="K15" s="10"/>
      <c r="L15" s="68">
        <v>2000</v>
      </c>
      <c r="M15" s="68">
        <v>20000</v>
      </c>
      <c r="N15" s="10"/>
      <c r="O15" s="19"/>
      <c r="P15" s="20"/>
      <c r="Q15" s="10"/>
      <c r="R15" s="11"/>
      <c r="S15" s="32" t="s">
        <v>50</v>
      </c>
      <c r="T15" s="33"/>
      <c r="U15" s="24"/>
      <c r="V15" s="9">
        <v>6000</v>
      </c>
      <c r="W15" s="9">
        <v>3200</v>
      </c>
      <c r="X15" s="9">
        <v>60000</v>
      </c>
      <c r="Y15" s="9">
        <v>17000</v>
      </c>
      <c r="Z15" s="9">
        <v>4500</v>
      </c>
      <c r="AA15" s="9">
        <v>1000</v>
      </c>
      <c r="AB15" s="9"/>
      <c r="AC15" s="11"/>
      <c r="AD15" s="68">
        <v>12700</v>
      </c>
      <c r="AE15" s="68">
        <v>13400</v>
      </c>
      <c r="AF15" s="10"/>
      <c r="AG15" s="68">
        <v>11500</v>
      </c>
      <c r="AH15" s="10"/>
      <c r="AI15" s="10"/>
      <c r="AJ15" s="19"/>
      <c r="AK15" s="20" t="s">
        <v>93</v>
      </c>
      <c r="AL15" s="10">
        <v>18500</v>
      </c>
      <c r="AM15" s="11"/>
      <c r="AN15" s="32" t="s">
        <v>50</v>
      </c>
      <c r="AO15" s="33">
        <v>255770</v>
      </c>
      <c r="AQ15" s="9">
        <v>300</v>
      </c>
      <c r="AR15" s="9">
        <v>10500</v>
      </c>
      <c r="AS15" s="9">
        <v>6000</v>
      </c>
      <c r="AT15" s="9">
        <v>4000</v>
      </c>
      <c r="AU15" s="9">
        <v>10570</v>
      </c>
      <c r="AV15" s="9">
        <v>1500</v>
      </c>
      <c r="AW15" s="9">
        <v>1500</v>
      </c>
      <c r="AX15" s="11"/>
      <c r="AY15" s="68">
        <v>7000</v>
      </c>
      <c r="AZ15" s="68">
        <v>27860</v>
      </c>
      <c r="BA15" s="10"/>
      <c r="BB15" s="68">
        <v>2500</v>
      </c>
      <c r="BC15" s="68">
        <v>5000</v>
      </c>
      <c r="BD15" s="10"/>
      <c r="BE15" s="19"/>
      <c r="BF15" s="20" t="s">
        <v>94</v>
      </c>
      <c r="BG15" s="10">
        <v>176000</v>
      </c>
      <c r="BH15" s="11"/>
      <c r="BI15" s="32" t="s">
        <v>50</v>
      </c>
      <c r="BJ15" s="33"/>
      <c r="BL15" s="9">
        <v>5100</v>
      </c>
      <c r="BM15" s="9">
        <v>4300</v>
      </c>
      <c r="BN15" s="9">
        <v>3500</v>
      </c>
      <c r="BO15" s="9">
        <v>4500</v>
      </c>
      <c r="BP15" s="9">
        <v>42000</v>
      </c>
      <c r="BQ15" s="9">
        <v>800</v>
      </c>
      <c r="BR15" s="9">
        <v>3000</v>
      </c>
      <c r="BS15" s="11"/>
      <c r="BT15" s="68">
        <v>4320</v>
      </c>
      <c r="BU15" s="68">
        <v>16000</v>
      </c>
      <c r="BV15" s="68">
        <v>6000</v>
      </c>
      <c r="BW15" s="74">
        <v>5000</v>
      </c>
      <c r="BX15" s="68">
        <v>1600</v>
      </c>
      <c r="BY15" s="10"/>
      <c r="BZ15" s="10"/>
      <c r="CA15" s="19"/>
      <c r="CB15" s="20"/>
      <c r="CC15" s="10"/>
      <c r="CD15" s="11"/>
      <c r="CE15" s="32" t="s">
        <v>50</v>
      </c>
      <c r="CF15" s="33">
        <v>55370</v>
      </c>
      <c r="CG15" s="24"/>
      <c r="CH15" s="9">
        <v>2000</v>
      </c>
      <c r="CI15" s="9">
        <v>2000</v>
      </c>
      <c r="CJ15" s="9">
        <v>1500</v>
      </c>
      <c r="CK15" s="9">
        <v>29000</v>
      </c>
      <c r="CL15" s="9">
        <v>5000</v>
      </c>
      <c r="CM15" s="9">
        <v>2000</v>
      </c>
      <c r="CN15" s="9">
        <v>4500</v>
      </c>
      <c r="CO15" s="11"/>
      <c r="CP15" s="68">
        <v>6000</v>
      </c>
      <c r="CQ15" s="68">
        <v>42680</v>
      </c>
      <c r="CR15" s="68">
        <v>27300</v>
      </c>
      <c r="CS15" s="68">
        <v>3200</v>
      </c>
      <c r="CT15" s="68">
        <v>18000</v>
      </c>
      <c r="CU15" s="68">
        <v>8000</v>
      </c>
      <c r="CV15" s="19"/>
      <c r="CW15" s="20"/>
      <c r="CX15" s="10"/>
      <c r="CY15" s="11"/>
      <c r="CZ15" s="32" t="s">
        <v>50</v>
      </c>
      <c r="DA15" s="33">
        <v>1448150</v>
      </c>
    </row>
    <row r="16" ht="15" customHeight="1" spans="1:105">
      <c r="A16" s="9">
        <v>600</v>
      </c>
      <c r="B16" s="9">
        <v>1500</v>
      </c>
      <c r="C16" s="9"/>
      <c r="D16" s="9"/>
      <c r="E16" s="9"/>
      <c r="F16" s="9"/>
      <c r="G16" s="9"/>
      <c r="H16" s="11"/>
      <c r="I16" s="68">
        <v>9130</v>
      </c>
      <c r="J16" s="10"/>
      <c r="K16" s="10"/>
      <c r="L16" s="68">
        <v>6500</v>
      </c>
      <c r="M16" s="68">
        <v>2000</v>
      </c>
      <c r="N16" s="10"/>
      <c r="O16" s="21"/>
      <c r="P16" s="20"/>
      <c r="Q16" s="10"/>
      <c r="R16" s="11"/>
      <c r="S16" s="32" t="s">
        <v>53</v>
      </c>
      <c r="T16" s="33">
        <v>276180</v>
      </c>
      <c r="U16" s="24"/>
      <c r="V16" s="9">
        <v>8500</v>
      </c>
      <c r="W16" s="9">
        <v>28500</v>
      </c>
      <c r="X16" s="9">
        <v>9000</v>
      </c>
      <c r="Y16" s="9">
        <v>6000</v>
      </c>
      <c r="Z16" s="9">
        <v>4800</v>
      </c>
      <c r="AA16" s="9">
        <v>4000</v>
      </c>
      <c r="AB16" s="9"/>
      <c r="AC16" s="11"/>
      <c r="AD16" s="68">
        <v>16330</v>
      </c>
      <c r="AE16" s="68">
        <v>22580</v>
      </c>
      <c r="AF16" s="10"/>
      <c r="AG16" s="68">
        <v>44000</v>
      </c>
      <c r="AH16" s="10"/>
      <c r="AI16" s="10"/>
      <c r="AJ16" s="21"/>
      <c r="AK16" s="20" t="s">
        <v>48</v>
      </c>
      <c r="AL16" s="10">
        <v>112500</v>
      </c>
      <c r="AM16" s="11"/>
      <c r="AN16" s="32" t="s">
        <v>53</v>
      </c>
      <c r="AO16" s="33">
        <v>781190</v>
      </c>
      <c r="AQ16" s="9">
        <v>600</v>
      </c>
      <c r="AR16" s="9">
        <v>2800</v>
      </c>
      <c r="AS16" s="9">
        <v>9000</v>
      </c>
      <c r="AT16" s="9">
        <v>3000</v>
      </c>
      <c r="AU16" s="9">
        <v>20700</v>
      </c>
      <c r="AV16" s="9">
        <v>30000</v>
      </c>
      <c r="AW16" s="9">
        <v>2000</v>
      </c>
      <c r="AX16" s="11"/>
      <c r="AY16" s="68">
        <v>4800</v>
      </c>
      <c r="AZ16" s="68">
        <v>9150</v>
      </c>
      <c r="BA16" s="10"/>
      <c r="BB16" s="68">
        <v>4500</v>
      </c>
      <c r="BC16" s="68">
        <v>2000</v>
      </c>
      <c r="BD16" s="10"/>
      <c r="BE16" s="21"/>
      <c r="BF16" s="20" t="s">
        <v>95</v>
      </c>
      <c r="BG16" s="10">
        <v>292600</v>
      </c>
      <c r="BH16" s="11"/>
      <c r="BI16" s="32" t="s">
        <v>53</v>
      </c>
      <c r="BJ16" s="33"/>
      <c r="BL16" s="9">
        <v>2000</v>
      </c>
      <c r="BM16" s="9">
        <v>11000</v>
      </c>
      <c r="BN16" s="9">
        <v>5000</v>
      </c>
      <c r="BO16" s="9">
        <v>6000</v>
      </c>
      <c r="BP16" s="9">
        <v>8900</v>
      </c>
      <c r="BQ16" s="9">
        <v>3000</v>
      </c>
      <c r="BR16" s="9">
        <v>2000</v>
      </c>
      <c r="BS16" s="11"/>
      <c r="BT16" s="68">
        <v>4320</v>
      </c>
      <c r="BU16" s="68">
        <v>13500</v>
      </c>
      <c r="BV16" s="68">
        <v>7000</v>
      </c>
      <c r="BW16" s="74">
        <v>62000</v>
      </c>
      <c r="BX16" s="68">
        <v>2400</v>
      </c>
      <c r="BY16" s="10"/>
      <c r="BZ16" s="10"/>
      <c r="CA16" s="21"/>
      <c r="CB16" s="20"/>
      <c r="CC16" s="10"/>
      <c r="CD16" s="11"/>
      <c r="CE16" s="32" t="s">
        <v>53</v>
      </c>
      <c r="CF16" s="33">
        <v>481410</v>
      </c>
      <c r="CG16" s="31"/>
      <c r="CH16" s="9">
        <v>15000</v>
      </c>
      <c r="CI16" s="9">
        <v>3000</v>
      </c>
      <c r="CJ16" s="9">
        <v>3400</v>
      </c>
      <c r="CK16" s="9">
        <v>1000</v>
      </c>
      <c r="CL16" s="9">
        <v>6500</v>
      </c>
      <c r="CM16" s="9">
        <v>14500</v>
      </c>
      <c r="CN16" s="9">
        <v>1000</v>
      </c>
      <c r="CO16" s="11"/>
      <c r="CP16" s="68">
        <v>31000</v>
      </c>
      <c r="CQ16" s="68">
        <v>19300</v>
      </c>
      <c r="CR16" s="68">
        <v>35000</v>
      </c>
      <c r="CS16" s="68">
        <v>22100</v>
      </c>
      <c r="CT16" s="68">
        <v>2500</v>
      </c>
      <c r="CU16" s="68">
        <v>17000</v>
      </c>
      <c r="CV16" s="21"/>
      <c r="CW16" s="20"/>
      <c r="CX16" s="10"/>
      <c r="CY16" s="11"/>
      <c r="CZ16" s="32" t="s">
        <v>53</v>
      </c>
      <c r="DA16" s="33"/>
    </row>
    <row r="17" ht="15.75" customHeight="1" spans="1:105">
      <c r="A17" s="9">
        <v>2000</v>
      </c>
      <c r="B17" s="9">
        <v>34000</v>
      </c>
      <c r="C17" s="9"/>
      <c r="D17" s="9"/>
      <c r="E17" s="9"/>
      <c r="F17" s="9"/>
      <c r="G17" s="9"/>
      <c r="H17" s="11"/>
      <c r="I17" s="68">
        <v>3360</v>
      </c>
      <c r="J17" s="10"/>
      <c r="K17" s="10"/>
      <c r="L17" s="68">
        <v>2300</v>
      </c>
      <c r="M17" s="68">
        <v>1500</v>
      </c>
      <c r="N17" s="10"/>
      <c r="O17" s="21"/>
      <c r="P17" s="20"/>
      <c r="Q17" s="10"/>
      <c r="R17" s="11"/>
      <c r="S17" s="24"/>
      <c r="T17" s="31">
        <v>95200</v>
      </c>
      <c r="U17" s="24"/>
      <c r="V17" s="9">
        <v>2400</v>
      </c>
      <c r="W17" s="9">
        <v>6000</v>
      </c>
      <c r="X17" s="9">
        <v>3300</v>
      </c>
      <c r="Y17" s="9">
        <v>1300</v>
      </c>
      <c r="Z17" s="9">
        <v>2700</v>
      </c>
      <c r="AA17" s="9">
        <v>2900</v>
      </c>
      <c r="AB17" s="9"/>
      <c r="AC17" s="11"/>
      <c r="AD17" s="68">
        <v>6000</v>
      </c>
      <c r="AE17" s="68">
        <v>580</v>
      </c>
      <c r="AF17" s="10"/>
      <c r="AG17" s="68">
        <v>7500</v>
      </c>
      <c r="AH17" s="10"/>
      <c r="AI17" s="10"/>
      <c r="AJ17" s="21"/>
      <c r="AK17" s="20"/>
      <c r="AL17" s="10"/>
      <c r="AM17" s="11"/>
      <c r="AN17" s="24"/>
      <c r="AO17" s="31">
        <v>66960</v>
      </c>
      <c r="AQ17" s="9">
        <v>4500</v>
      </c>
      <c r="AR17" s="9">
        <v>2000</v>
      </c>
      <c r="AS17" s="9">
        <v>17000</v>
      </c>
      <c r="AT17" s="9">
        <v>1000</v>
      </c>
      <c r="AU17" s="9">
        <v>2400</v>
      </c>
      <c r="AV17" s="9">
        <v>4500</v>
      </c>
      <c r="AW17" s="9">
        <v>12000</v>
      </c>
      <c r="AX17" s="11"/>
      <c r="AY17" s="68">
        <v>15000</v>
      </c>
      <c r="AZ17" s="68">
        <v>16100</v>
      </c>
      <c r="BA17" s="10"/>
      <c r="BB17" s="68">
        <v>6000</v>
      </c>
      <c r="BC17" s="68">
        <v>5000</v>
      </c>
      <c r="BD17" s="10"/>
      <c r="BE17" s="21"/>
      <c r="BF17" s="20" t="s">
        <v>96</v>
      </c>
      <c r="BG17" s="10"/>
      <c r="BH17" s="11"/>
      <c r="BI17" s="24"/>
      <c r="BJ17" s="31">
        <v>634590</v>
      </c>
      <c r="BL17" s="9">
        <v>8500</v>
      </c>
      <c r="BM17" s="9">
        <v>17000</v>
      </c>
      <c r="BN17" s="9">
        <v>12000</v>
      </c>
      <c r="BO17" s="9">
        <v>10000</v>
      </c>
      <c r="BP17" s="9">
        <v>6000</v>
      </c>
      <c r="BQ17" s="9">
        <v>11000</v>
      </c>
      <c r="BR17" s="9">
        <v>3000</v>
      </c>
      <c r="BS17" s="11"/>
      <c r="BT17" s="68">
        <v>4500</v>
      </c>
      <c r="BU17" s="68">
        <v>6600</v>
      </c>
      <c r="BV17" s="68">
        <v>32000</v>
      </c>
      <c r="BW17" s="74">
        <v>3500</v>
      </c>
      <c r="BX17" s="68">
        <v>2500</v>
      </c>
      <c r="BY17" s="10"/>
      <c r="BZ17" s="10"/>
      <c r="CA17" s="21"/>
      <c r="CB17" s="20"/>
      <c r="CC17" s="10"/>
      <c r="CD17" s="11"/>
      <c r="CE17" s="24"/>
      <c r="CF17" s="31">
        <v>165980</v>
      </c>
      <c r="CG17" s="31"/>
      <c r="CH17" s="9">
        <v>2500</v>
      </c>
      <c r="CI17" s="9">
        <v>2000</v>
      </c>
      <c r="CJ17" s="9">
        <v>10500</v>
      </c>
      <c r="CK17" s="9">
        <v>6000</v>
      </c>
      <c r="CL17" s="9">
        <v>12000</v>
      </c>
      <c r="CM17" s="9">
        <v>9000</v>
      </c>
      <c r="CN17" s="9">
        <v>800</v>
      </c>
      <c r="CO17" s="11"/>
      <c r="CP17" s="68">
        <v>1200</v>
      </c>
      <c r="CQ17" s="68">
        <v>12000</v>
      </c>
      <c r="CR17" s="68">
        <v>1600</v>
      </c>
      <c r="CS17" s="68">
        <v>13450</v>
      </c>
      <c r="CT17" s="10"/>
      <c r="CU17" s="68">
        <v>10000</v>
      </c>
      <c r="CV17" s="21"/>
      <c r="CW17" s="20"/>
      <c r="CX17" s="10"/>
      <c r="CY17" s="11"/>
      <c r="CZ17" s="24"/>
      <c r="DA17" s="31">
        <v>112620</v>
      </c>
    </row>
    <row r="18" ht="15.75" customHeight="1" spans="1:103">
      <c r="A18" s="9">
        <v>600</v>
      </c>
      <c r="B18" s="9">
        <v>10000</v>
      </c>
      <c r="C18" s="9"/>
      <c r="D18" s="9"/>
      <c r="E18" s="9"/>
      <c r="F18" s="9"/>
      <c r="G18" s="9"/>
      <c r="H18" s="11"/>
      <c r="I18" s="68">
        <v>3840</v>
      </c>
      <c r="J18" s="10"/>
      <c r="K18" s="10"/>
      <c r="L18" s="68">
        <v>12000</v>
      </c>
      <c r="M18" s="68">
        <v>26500</v>
      </c>
      <c r="N18" s="10"/>
      <c r="O18" s="21"/>
      <c r="P18" s="20"/>
      <c r="Q18" s="10"/>
      <c r="R18" s="11"/>
      <c r="U18" s="24"/>
      <c r="V18" s="9">
        <v>11000</v>
      </c>
      <c r="W18" s="9">
        <v>2500</v>
      </c>
      <c r="X18" s="9">
        <v>3500</v>
      </c>
      <c r="Y18" s="9">
        <v>7000</v>
      </c>
      <c r="Z18" s="9">
        <v>8500</v>
      </c>
      <c r="AA18" s="9">
        <v>3000</v>
      </c>
      <c r="AB18" s="9"/>
      <c r="AC18" s="11"/>
      <c r="AD18" s="68">
        <v>3320</v>
      </c>
      <c r="AE18" s="68">
        <v>16000</v>
      </c>
      <c r="AF18" s="10"/>
      <c r="AG18" s="10"/>
      <c r="AH18" s="10"/>
      <c r="AI18" s="10"/>
      <c r="AJ18" s="21"/>
      <c r="AK18" s="20"/>
      <c r="AL18" s="10"/>
      <c r="AM18" s="11"/>
      <c r="AO18">
        <v>135000</v>
      </c>
      <c r="AQ18" s="9">
        <v>44000</v>
      </c>
      <c r="AR18" s="9">
        <v>14000</v>
      </c>
      <c r="AS18" s="9">
        <v>2300</v>
      </c>
      <c r="AT18" s="9">
        <v>192200</v>
      </c>
      <c r="AU18" s="9">
        <v>10000</v>
      </c>
      <c r="AV18" s="9">
        <v>2200</v>
      </c>
      <c r="AW18" s="9">
        <v>11000</v>
      </c>
      <c r="AX18" s="11"/>
      <c r="AY18" s="68">
        <v>44000</v>
      </c>
      <c r="AZ18" s="68">
        <v>1540</v>
      </c>
      <c r="BA18" s="10"/>
      <c r="BB18" s="68">
        <v>600</v>
      </c>
      <c r="BC18" s="68">
        <v>10500</v>
      </c>
      <c r="BD18" s="10"/>
      <c r="BE18" s="21"/>
      <c r="BF18" s="20" t="s">
        <v>97</v>
      </c>
      <c r="BG18" s="10"/>
      <c r="BH18" s="11"/>
      <c r="BJ18" s="31">
        <v>100000</v>
      </c>
      <c r="BL18" s="9">
        <v>6000</v>
      </c>
      <c r="BM18" s="9">
        <v>3200</v>
      </c>
      <c r="BN18" s="9">
        <v>2000</v>
      </c>
      <c r="BO18" s="9">
        <v>63000</v>
      </c>
      <c r="BP18" s="9">
        <v>3500</v>
      </c>
      <c r="BQ18" s="9">
        <v>6000</v>
      </c>
      <c r="BR18" s="9">
        <v>19500</v>
      </c>
      <c r="BS18" s="11"/>
      <c r="BT18" s="68">
        <v>7680</v>
      </c>
      <c r="BU18" s="68">
        <v>3000</v>
      </c>
      <c r="BV18" s="68">
        <v>600</v>
      </c>
      <c r="BW18" s="74">
        <v>5000</v>
      </c>
      <c r="BX18" s="68">
        <v>4500</v>
      </c>
      <c r="BY18" s="10"/>
      <c r="BZ18" s="10"/>
      <c r="CA18" s="21"/>
      <c r="CB18" s="20"/>
      <c r="CC18" s="10"/>
      <c r="CD18" s="11"/>
      <c r="CF18">
        <v>482570</v>
      </c>
      <c r="CG18" s="24"/>
      <c r="CH18" s="9">
        <v>14000</v>
      </c>
      <c r="CI18" s="9">
        <v>2600</v>
      </c>
      <c r="CJ18" s="9">
        <v>4000</v>
      </c>
      <c r="CK18" s="9">
        <v>2000</v>
      </c>
      <c r="CL18" s="9">
        <v>4000</v>
      </c>
      <c r="CM18" s="9">
        <v>5000</v>
      </c>
      <c r="CN18" s="9">
        <v>3500</v>
      </c>
      <c r="CO18" s="11"/>
      <c r="CP18" s="68">
        <v>5000</v>
      </c>
      <c r="CQ18" s="68">
        <v>5000</v>
      </c>
      <c r="CR18" s="68">
        <v>11530</v>
      </c>
      <c r="CS18" s="68">
        <v>4320</v>
      </c>
      <c r="CT18" s="10"/>
      <c r="CU18" s="68">
        <v>12000</v>
      </c>
      <c r="CV18" s="21"/>
      <c r="CW18" s="20"/>
      <c r="CX18" s="10"/>
      <c r="CY18" s="11"/>
    </row>
    <row r="19" ht="15.75" customHeight="1" spans="1:105">
      <c r="A19" s="9">
        <v>2000</v>
      </c>
      <c r="B19" s="9">
        <v>4000</v>
      </c>
      <c r="C19" s="9"/>
      <c r="D19" s="9"/>
      <c r="E19" s="9"/>
      <c r="F19" s="9"/>
      <c r="G19" s="9"/>
      <c r="H19" s="11"/>
      <c r="I19" s="68">
        <v>3840</v>
      </c>
      <c r="J19" s="10"/>
      <c r="K19" s="10"/>
      <c r="L19" s="68">
        <v>14800</v>
      </c>
      <c r="M19" s="68">
        <v>34500</v>
      </c>
      <c r="N19" s="10"/>
      <c r="O19" s="21"/>
      <c r="P19" s="20"/>
      <c r="Q19" s="10"/>
      <c r="R19" s="11"/>
      <c r="S19" s="24"/>
      <c r="T19" s="31"/>
      <c r="U19" s="24"/>
      <c r="V19" s="9">
        <v>3500</v>
      </c>
      <c r="W19" s="9">
        <v>2000</v>
      </c>
      <c r="X19" s="9">
        <v>17600</v>
      </c>
      <c r="Y19" s="9">
        <v>500</v>
      </c>
      <c r="Z19" s="9">
        <v>2500</v>
      </c>
      <c r="AA19" s="9">
        <v>15000</v>
      </c>
      <c r="AB19" s="9"/>
      <c r="AC19" s="11"/>
      <c r="AD19" s="68">
        <v>7400</v>
      </c>
      <c r="AE19" s="68">
        <v>2880</v>
      </c>
      <c r="AF19" s="10"/>
      <c r="AG19" s="10"/>
      <c r="AH19" s="10"/>
      <c r="AI19" s="10"/>
      <c r="AJ19" s="21"/>
      <c r="AK19" s="20"/>
      <c r="AL19" s="10"/>
      <c r="AM19" s="11"/>
      <c r="AN19" s="24"/>
      <c r="AO19" s="31">
        <v>51050</v>
      </c>
      <c r="AQ19" s="9">
        <v>150</v>
      </c>
      <c r="AR19" s="9">
        <v>7000</v>
      </c>
      <c r="AS19" s="9">
        <v>72500</v>
      </c>
      <c r="AT19" s="9">
        <v>3800</v>
      </c>
      <c r="AU19" s="9">
        <v>10500</v>
      </c>
      <c r="AV19" s="9">
        <v>3000</v>
      </c>
      <c r="AW19" s="9">
        <v>6500</v>
      </c>
      <c r="AX19" s="11"/>
      <c r="AY19" s="68">
        <v>2500</v>
      </c>
      <c r="AZ19" s="68">
        <v>10500</v>
      </c>
      <c r="BA19" s="10"/>
      <c r="BB19" s="68">
        <v>2800</v>
      </c>
      <c r="BC19" s="68">
        <v>22500</v>
      </c>
      <c r="BD19" s="10"/>
      <c r="BE19" s="21"/>
      <c r="BF19" s="20" t="s">
        <v>98</v>
      </c>
      <c r="BG19" s="10">
        <v>214000</v>
      </c>
      <c r="BH19" s="11"/>
      <c r="BI19" s="24"/>
      <c r="BJ19" s="31"/>
      <c r="BL19" s="9">
        <v>800</v>
      </c>
      <c r="BM19" s="9">
        <v>4000</v>
      </c>
      <c r="BN19" s="9">
        <v>1500</v>
      </c>
      <c r="BO19" s="9">
        <v>19000</v>
      </c>
      <c r="BP19" s="9">
        <v>2000</v>
      </c>
      <c r="BQ19" s="9">
        <v>2000</v>
      </c>
      <c r="BR19" s="9"/>
      <c r="BS19" s="11"/>
      <c r="BT19" s="68">
        <v>2500</v>
      </c>
      <c r="BU19" s="68">
        <v>19820</v>
      </c>
      <c r="BV19" s="68">
        <v>18800</v>
      </c>
      <c r="BW19" s="74">
        <v>22500</v>
      </c>
      <c r="BX19" s="68">
        <v>7000</v>
      </c>
      <c r="BY19" s="10"/>
      <c r="BZ19" s="10"/>
      <c r="CA19" s="21"/>
      <c r="CB19" s="20"/>
      <c r="CC19" s="10"/>
      <c r="CD19" s="11"/>
      <c r="CE19" s="24"/>
      <c r="CF19" s="31">
        <v>300000</v>
      </c>
      <c r="CG19" s="31"/>
      <c r="CH19" s="9">
        <v>4000</v>
      </c>
      <c r="CI19" s="9">
        <v>2500</v>
      </c>
      <c r="CJ19" s="9">
        <v>10500</v>
      </c>
      <c r="CK19" s="9">
        <v>2000</v>
      </c>
      <c r="CL19" s="9">
        <v>3000</v>
      </c>
      <c r="CM19" s="9">
        <v>3500</v>
      </c>
      <c r="CN19" s="9">
        <v>20600</v>
      </c>
      <c r="CO19" s="11"/>
      <c r="CP19" s="68">
        <v>13000</v>
      </c>
      <c r="CQ19" s="68">
        <v>12000</v>
      </c>
      <c r="CR19" s="68">
        <v>1000</v>
      </c>
      <c r="CS19" s="68">
        <v>6500</v>
      </c>
      <c r="CT19" s="10"/>
      <c r="CU19" s="68">
        <v>1500</v>
      </c>
      <c r="CV19" s="21"/>
      <c r="CW19" s="20"/>
      <c r="CX19" s="10"/>
      <c r="CY19" s="11"/>
      <c r="CZ19" s="24"/>
      <c r="DA19" s="31"/>
    </row>
    <row r="20" ht="15" customHeight="1" spans="1:105">
      <c r="A20" s="9">
        <v>40000</v>
      </c>
      <c r="B20" s="9">
        <v>3000</v>
      </c>
      <c r="C20" s="9"/>
      <c r="D20" s="9"/>
      <c r="E20" s="9"/>
      <c r="F20" s="9"/>
      <c r="G20" s="9"/>
      <c r="H20" s="11"/>
      <c r="I20" s="68">
        <v>9990</v>
      </c>
      <c r="J20" s="10"/>
      <c r="K20" s="10"/>
      <c r="L20" s="68">
        <v>1500</v>
      </c>
      <c r="M20" s="10"/>
      <c r="N20" s="10"/>
      <c r="O20" s="21"/>
      <c r="P20" s="20"/>
      <c r="Q20" s="10"/>
      <c r="R20" s="11"/>
      <c r="S20" s="24"/>
      <c r="T20" s="31"/>
      <c r="U20" s="24"/>
      <c r="V20" s="9">
        <v>2400</v>
      </c>
      <c r="W20" s="9">
        <v>1300</v>
      </c>
      <c r="X20" s="9">
        <v>6000</v>
      </c>
      <c r="Y20" s="9">
        <v>2500</v>
      </c>
      <c r="Z20" s="9">
        <v>5000</v>
      </c>
      <c r="AA20" s="9">
        <v>25000</v>
      </c>
      <c r="AB20" s="9"/>
      <c r="AC20" s="11"/>
      <c r="AD20" s="68">
        <v>2500</v>
      </c>
      <c r="AE20" s="68">
        <v>1300</v>
      </c>
      <c r="AF20" s="10"/>
      <c r="AG20" s="10"/>
      <c r="AH20" s="10"/>
      <c r="AI20" s="10"/>
      <c r="AJ20" s="21"/>
      <c r="AK20" s="20"/>
      <c r="AL20" s="10"/>
      <c r="AM20" s="11"/>
      <c r="AN20" s="24"/>
      <c r="AO20" s="31">
        <v>235140</v>
      </c>
      <c r="AQ20" s="9">
        <v>55000</v>
      </c>
      <c r="AR20" s="9">
        <v>70000</v>
      </c>
      <c r="AS20" s="9">
        <v>1000</v>
      </c>
      <c r="AT20" s="9">
        <v>300</v>
      </c>
      <c r="AU20" s="9">
        <v>1000</v>
      </c>
      <c r="AV20" s="9">
        <v>2000</v>
      </c>
      <c r="AW20" s="9">
        <v>11200</v>
      </c>
      <c r="AX20" s="11"/>
      <c r="AY20" s="68">
        <v>4320</v>
      </c>
      <c r="AZ20" s="68">
        <v>3230</v>
      </c>
      <c r="BA20" s="10"/>
      <c r="BB20" s="68">
        <v>9500</v>
      </c>
      <c r="BC20" s="68">
        <v>33200</v>
      </c>
      <c r="BD20" s="10"/>
      <c r="BE20" s="21"/>
      <c r="BF20" s="20" t="s">
        <v>88</v>
      </c>
      <c r="BG20" s="10">
        <v>19000</v>
      </c>
      <c r="BH20" s="11"/>
      <c r="BI20" s="24"/>
      <c r="BJ20" s="31"/>
      <c r="BL20" s="9">
        <v>7200</v>
      </c>
      <c r="BM20" s="9">
        <v>3500</v>
      </c>
      <c r="BN20" s="9">
        <v>5000</v>
      </c>
      <c r="BO20" s="9">
        <v>3000</v>
      </c>
      <c r="BP20" s="9">
        <v>82000</v>
      </c>
      <c r="BQ20" s="9">
        <v>2000</v>
      </c>
      <c r="BR20" s="9"/>
      <c r="BS20" s="11"/>
      <c r="BT20" s="68">
        <v>4160</v>
      </c>
      <c r="BU20" s="68">
        <v>4800</v>
      </c>
      <c r="BV20" s="68">
        <v>3360</v>
      </c>
      <c r="BW20" s="74">
        <v>34000</v>
      </c>
      <c r="BX20" s="68">
        <v>22500</v>
      </c>
      <c r="BY20" s="10"/>
      <c r="BZ20" s="10"/>
      <c r="CA20" s="21"/>
      <c r="CB20" s="20"/>
      <c r="CC20" s="10"/>
      <c r="CD20" s="11"/>
      <c r="CE20" s="24"/>
      <c r="CF20" s="31">
        <v>135180</v>
      </c>
      <c r="CG20" s="24"/>
      <c r="CH20" s="9">
        <v>9000</v>
      </c>
      <c r="CI20" s="9">
        <v>12000</v>
      </c>
      <c r="CJ20" s="9">
        <v>3500</v>
      </c>
      <c r="CK20" s="9">
        <v>6500</v>
      </c>
      <c r="CL20" s="9">
        <v>40500</v>
      </c>
      <c r="CM20" s="9">
        <v>3500</v>
      </c>
      <c r="CN20" s="9">
        <v>2500</v>
      </c>
      <c r="CO20" s="11"/>
      <c r="CP20" s="68">
        <v>9500</v>
      </c>
      <c r="CQ20" s="68">
        <v>1600</v>
      </c>
      <c r="CR20" s="68">
        <v>3560</v>
      </c>
      <c r="CS20" s="68">
        <v>7110</v>
      </c>
      <c r="CT20" s="10"/>
      <c r="CU20" s="68">
        <v>3500</v>
      </c>
      <c r="CV20" s="21"/>
      <c r="CW20" s="20"/>
      <c r="CX20" s="10"/>
      <c r="CY20" s="11"/>
      <c r="CZ20" s="24"/>
      <c r="DA20" s="31"/>
    </row>
    <row r="21" ht="15" customHeight="1" spans="1:105">
      <c r="A21" s="9">
        <v>700</v>
      </c>
      <c r="B21" s="9">
        <v>2700</v>
      </c>
      <c r="C21" s="9"/>
      <c r="D21" s="9"/>
      <c r="E21" s="9"/>
      <c r="F21" s="9"/>
      <c r="G21" s="9"/>
      <c r="H21" s="11"/>
      <c r="I21" s="68">
        <v>35270</v>
      </c>
      <c r="J21" s="10"/>
      <c r="K21" s="10"/>
      <c r="L21" s="68">
        <v>8500</v>
      </c>
      <c r="M21" s="10"/>
      <c r="N21" s="10"/>
      <c r="O21" s="21"/>
      <c r="P21" s="20"/>
      <c r="Q21" s="10"/>
      <c r="R21" s="11"/>
      <c r="S21" s="24"/>
      <c r="T21" s="31"/>
      <c r="U21" s="24"/>
      <c r="V21" s="9">
        <v>8100</v>
      </c>
      <c r="W21" s="9">
        <v>10000</v>
      </c>
      <c r="X21" s="9">
        <v>4000</v>
      </c>
      <c r="Y21" s="9">
        <v>1200</v>
      </c>
      <c r="Z21" s="9">
        <v>6000</v>
      </c>
      <c r="AA21" s="9">
        <v>10000</v>
      </c>
      <c r="AB21" s="9"/>
      <c r="AC21" s="11"/>
      <c r="AD21" s="68">
        <v>500</v>
      </c>
      <c r="AE21" s="68">
        <v>5530</v>
      </c>
      <c r="AF21" s="10"/>
      <c r="AG21" s="10"/>
      <c r="AH21" s="10"/>
      <c r="AI21" s="10"/>
      <c r="AJ21" s="21"/>
      <c r="AK21" s="20"/>
      <c r="AL21" s="10"/>
      <c r="AM21" s="11"/>
      <c r="AN21" s="24"/>
      <c r="AO21" s="31">
        <v>474200</v>
      </c>
      <c r="AQ21" s="9">
        <v>1500</v>
      </c>
      <c r="AR21" s="9">
        <v>2500</v>
      </c>
      <c r="AS21" s="9">
        <v>18500</v>
      </c>
      <c r="AT21" s="9">
        <v>9500</v>
      </c>
      <c r="AU21" s="9">
        <v>20000</v>
      </c>
      <c r="AV21" s="9">
        <v>2800</v>
      </c>
      <c r="AW21" s="9">
        <v>5000</v>
      </c>
      <c r="AX21" s="11"/>
      <c r="AY21" s="68">
        <v>6000</v>
      </c>
      <c r="AZ21" s="68">
        <v>28460</v>
      </c>
      <c r="BA21" s="10"/>
      <c r="BB21" s="68">
        <v>16000</v>
      </c>
      <c r="BC21" s="68">
        <v>500</v>
      </c>
      <c r="BD21" s="10"/>
      <c r="BE21" s="21"/>
      <c r="BF21" s="20" t="s">
        <v>99</v>
      </c>
      <c r="BG21" s="10">
        <v>6500</v>
      </c>
      <c r="BH21" s="11"/>
      <c r="BI21" s="24"/>
      <c r="BJ21" s="31"/>
      <c r="BL21" s="9">
        <v>1000</v>
      </c>
      <c r="BM21" s="9">
        <v>27500</v>
      </c>
      <c r="BN21" s="9">
        <v>2500</v>
      </c>
      <c r="BO21" s="9">
        <v>1000</v>
      </c>
      <c r="BP21" s="9">
        <v>17000</v>
      </c>
      <c r="BQ21" s="9">
        <v>1500</v>
      </c>
      <c r="BR21" s="9"/>
      <c r="BS21" s="11"/>
      <c r="BT21" s="68">
        <v>4320</v>
      </c>
      <c r="BU21" s="68">
        <v>12700</v>
      </c>
      <c r="BV21" s="68">
        <v>14980</v>
      </c>
      <c r="BW21" s="74">
        <v>6500</v>
      </c>
      <c r="BX21" s="68">
        <v>102600</v>
      </c>
      <c r="BY21" s="10"/>
      <c r="BZ21" s="10"/>
      <c r="CA21" s="21"/>
      <c r="CB21" s="20"/>
      <c r="CC21" s="10"/>
      <c r="CD21" s="11"/>
      <c r="CE21" s="24"/>
      <c r="CF21" s="31"/>
      <c r="CG21" s="24"/>
      <c r="CH21" s="9">
        <v>12000</v>
      </c>
      <c r="CI21" s="9">
        <v>3500</v>
      </c>
      <c r="CJ21" s="9">
        <v>14000</v>
      </c>
      <c r="CK21" s="9">
        <v>3000</v>
      </c>
      <c r="CL21" s="9">
        <v>14000</v>
      </c>
      <c r="CM21" s="9">
        <v>400</v>
      </c>
      <c r="CN21" s="9">
        <v>4800</v>
      </c>
      <c r="CO21" s="11"/>
      <c r="CP21" s="68">
        <v>14000</v>
      </c>
      <c r="CQ21" s="68">
        <v>1500</v>
      </c>
      <c r="CR21" s="68">
        <v>14000</v>
      </c>
      <c r="CS21" s="68">
        <v>12730</v>
      </c>
      <c r="CT21" s="10"/>
      <c r="CU21" s="68">
        <v>4500</v>
      </c>
      <c r="CV21" s="21"/>
      <c r="CW21" s="20"/>
      <c r="CX21" s="10"/>
      <c r="CY21" s="11"/>
      <c r="CZ21" s="24"/>
      <c r="DA21" s="31"/>
    </row>
    <row r="22" ht="15.75" customHeight="1" spans="1:105">
      <c r="A22" s="9">
        <v>2800</v>
      </c>
      <c r="B22" s="9">
        <v>12000</v>
      </c>
      <c r="C22" s="9"/>
      <c r="D22" s="9"/>
      <c r="E22" s="9"/>
      <c r="F22" s="9"/>
      <c r="G22" s="9"/>
      <c r="H22" s="11"/>
      <c r="I22" s="68">
        <v>9610</v>
      </c>
      <c r="J22" s="10"/>
      <c r="K22" s="10"/>
      <c r="L22" s="68">
        <v>18000</v>
      </c>
      <c r="M22" s="10"/>
      <c r="N22" s="10"/>
      <c r="O22" s="21"/>
      <c r="P22" s="20"/>
      <c r="Q22" s="10"/>
      <c r="R22" s="11"/>
      <c r="S22" s="24"/>
      <c r="T22" s="31"/>
      <c r="U22" s="24"/>
      <c r="V22" s="9">
        <v>1500</v>
      </c>
      <c r="W22" s="9">
        <v>13500</v>
      </c>
      <c r="X22" s="9">
        <v>1500</v>
      </c>
      <c r="Y22" s="9">
        <v>1500</v>
      </c>
      <c r="Z22" s="9">
        <v>28000</v>
      </c>
      <c r="AA22" s="9">
        <v>9500</v>
      </c>
      <c r="AB22" s="9"/>
      <c r="AC22" s="11"/>
      <c r="AD22" s="68">
        <v>20330</v>
      </c>
      <c r="AE22" s="68">
        <v>3840</v>
      </c>
      <c r="AF22" s="10"/>
      <c r="AG22" s="10"/>
      <c r="AH22" s="10"/>
      <c r="AI22" s="10"/>
      <c r="AJ22" s="21"/>
      <c r="AK22" s="20"/>
      <c r="AL22" s="10"/>
      <c r="AM22" s="11"/>
      <c r="AN22" s="24"/>
      <c r="AO22" s="31">
        <v>361530</v>
      </c>
      <c r="AQ22" s="9">
        <v>9500</v>
      </c>
      <c r="AR22" s="9">
        <v>4000</v>
      </c>
      <c r="AS22" s="9">
        <v>10000</v>
      </c>
      <c r="AT22" s="9">
        <v>5000</v>
      </c>
      <c r="AU22" s="9">
        <v>1500</v>
      </c>
      <c r="AV22" s="9">
        <v>600</v>
      </c>
      <c r="AW22" s="9">
        <v>7000</v>
      </c>
      <c r="AX22" s="11"/>
      <c r="AY22" s="68">
        <v>1500</v>
      </c>
      <c r="AZ22" s="68">
        <v>4800</v>
      </c>
      <c r="BA22" s="10"/>
      <c r="BB22" s="68">
        <v>10000</v>
      </c>
      <c r="BC22" s="68">
        <v>2500</v>
      </c>
      <c r="BD22" s="10"/>
      <c r="BE22" s="21"/>
      <c r="BF22" s="20" t="s">
        <v>100</v>
      </c>
      <c r="BG22" s="10">
        <v>78850</v>
      </c>
      <c r="BH22" s="11"/>
      <c r="BI22" s="24"/>
      <c r="BJ22" s="31"/>
      <c r="BL22" s="9">
        <v>7000</v>
      </c>
      <c r="BM22" s="9">
        <v>3500</v>
      </c>
      <c r="BN22" s="9">
        <v>1800</v>
      </c>
      <c r="BO22" s="9">
        <v>3000</v>
      </c>
      <c r="BP22" s="9">
        <v>1500</v>
      </c>
      <c r="BQ22" s="9">
        <v>1100</v>
      </c>
      <c r="BR22" s="9"/>
      <c r="BS22" s="11"/>
      <c r="BT22" s="68">
        <v>1600</v>
      </c>
      <c r="BU22" s="68">
        <v>1600</v>
      </c>
      <c r="BV22" s="68">
        <v>1500</v>
      </c>
      <c r="BW22" s="74">
        <v>10500</v>
      </c>
      <c r="BX22" s="68">
        <v>10900</v>
      </c>
      <c r="BY22" s="10"/>
      <c r="BZ22" s="10"/>
      <c r="CA22" s="21"/>
      <c r="CB22" s="20"/>
      <c r="CC22" s="10"/>
      <c r="CD22" s="11"/>
      <c r="CE22" s="24"/>
      <c r="CF22" s="31"/>
      <c r="CG22" s="24"/>
      <c r="CH22" s="9">
        <v>3000</v>
      </c>
      <c r="CI22" s="9">
        <v>4500</v>
      </c>
      <c r="CJ22" s="9">
        <v>10000</v>
      </c>
      <c r="CK22" s="9">
        <v>18400</v>
      </c>
      <c r="CL22" s="9">
        <v>15000</v>
      </c>
      <c r="CM22" s="9">
        <v>19000</v>
      </c>
      <c r="CN22" s="9">
        <v>25000</v>
      </c>
      <c r="CO22" s="11"/>
      <c r="CP22" s="68">
        <v>12000</v>
      </c>
      <c r="CQ22" s="68">
        <v>26500</v>
      </c>
      <c r="CR22" s="68">
        <v>4000</v>
      </c>
      <c r="CS22" s="68">
        <v>1600</v>
      </c>
      <c r="CT22" s="10"/>
      <c r="CU22" s="68">
        <v>36000</v>
      </c>
      <c r="CV22" s="21"/>
      <c r="CW22" s="20"/>
      <c r="CX22" s="10"/>
      <c r="CY22" s="11"/>
      <c r="CZ22" s="24"/>
      <c r="DA22" s="31"/>
    </row>
    <row r="23" spans="1:105">
      <c r="A23" s="9">
        <v>2200</v>
      </c>
      <c r="B23" s="9">
        <v>1500</v>
      </c>
      <c r="C23" s="9"/>
      <c r="D23" s="9"/>
      <c r="E23" s="9"/>
      <c r="F23" s="9"/>
      <c r="G23" s="9"/>
      <c r="H23" s="11"/>
      <c r="I23" s="68">
        <v>2400</v>
      </c>
      <c r="J23" s="10"/>
      <c r="K23" s="10"/>
      <c r="L23" s="68">
        <v>3000</v>
      </c>
      <c r="M23" s="10"/>
      <c r="N23" s="10"/>
      <c r="O23" s="21"/>
      <c r="P23" s="20"/>
      <c r="Q23" s="10"/>
      <c r="R23" s="11"/>
      <c r="S23" s="24"/>
      <c r="T23" s="31"/>
      <c r="U23" s="24"/>
      <c r="V23" s="9">
        <v>18500</v>
      </c>
      <c r="W23" s="9">
        <v>13500</v>
      </c>
      <c r="X23" s="9">
        <v>3000</v>
      </c>
      <c r="Y23" s="9">
        <v>5000</v>
      </c>
      <c r="Z23" s="9">
        <v>400</v>
      </c>
      <c r="AA23" s="9">
        <v>5000</v>
      </c>
      <c r="AB23" s="9"/>
      <c r="AC23" s="11"/>
      <c r="AD23" s="68">
        <v>6100</v>
      </c>
      <c r="AE23" s="68">
        <v>7690</v>
      </c>
      <c r="AF23" s="10"/>
      <c r="AG23" s="10"/>
      <c r="AH23" s="10"/>
      <c r="AI23" s="10"/>
      <c r="AJ23" s="21"/>
      <c r="AK23" s="20"/>
      <c r="AL23" s="10"/>
      <c r="AM23" s="11"/>
      <c r="AN23" s="24"/>
      <c r="AO23" s="31"/>
      <c r="AQ23" s="9">
        <v>2200</v>
      </c>
      <c r="AR23" s="9">
        <v>11500</v>
      </c>
      <c r="AS23" s="9">
        <v>2000</v>
      </c>
      <c r="AT23" s="9">
        <v>7300</v>
      </c>
      <c r="AU23" s="9">
        <v>41000</v>
      </c>
      <c r="AV23" s="9">
        <v>1500</v>
      </c>
      <c r="AW23" s="9">
        <v>8000</v>
      </c>
      <c r="AX23" s="11"/>
      <c r="AY23" s="68">
        <v>300</v>
      </c>
      <c r="AZ23" s="68">
        <v>3000</v>
      </c>
      <c r="BA23" s="10"/>
      <c r="BB23" s="68">
        <v>9000</v>
      </c>
      <c r="BC23" s="68">
        <v>20000</v>
      </c>
      <c r="BD23" s="10"/>
      <c r="BE23" s="21"/>
      <c r="BF23" s="20" t="s">
        <v>62</v>
      </c>
      <c r="BG23" s="10">
        <v>25000</v>
      </c>
      <c r="BH23" s="11"/>
      <c r="BI23" s="24"/>
      <c r="BJ23" s="31"/>
      <c r="BL23" s="9">
        <v>6000</v>
      </c>
      <c r="BM23" s="9">
        <v>9800</v>
      </c>
      <c r="BN23" s="9">
        <v>3000</v>
      </c>
      <c r="BO23" s="9">
        <v>3000</v>
      </c>
      <c r="BP23" s="9">
        <v>2500</v>
      </c>
      <c r="BQ23" s="9">
        <v>3500</v>
      </c>
      <c r="BR23" s="9"/>
      <c r="BS23" s="11"/>
      <c r="BT23" s="68">
        <v>5000</v>
      </c>
      <c r="BU23" s="68">
        <v>4500</v>
      </c>
      <c r="BV23" s="68">
        <v>1000</v>
      </c>
      <c r="BW23" s="74">
        <v>5000</v>
      </c>
      <c r="BX23" s="68">
        <v>6500</v>
      </c>
      <c r="BY23" s="10"/>
      <c r="BZ23" s="10"/>
      <c r="CA23" s="21"/>
      <c r="CB23" s="20"/>
      <c r="CC23" s="10"/>
      <c r="CD23" s="11"/>
      <c r="CE23" s="24"/>
      <c r="CF23" s="31"/>
      <c r="CG23" s="24"/>
      <c r="CH23" s="9">
        <v>5500</v>
      </c>
      <c r="CI23" s="9">
        <v>10500</v>
      </c>
      <c r="CJ23" s="9">
        <v>5500</v>
      </c>
      <c r="CK23" s="9">
        <v>4000</v>
      </c>
      <c r="CL23" s="9">
        <v>26000</v>
      </c>
      <c r="CM23" s="9">
        <v>6000</v>
      </c>
      <c r="CN23" s="9"/>
      <c r="CO23" s="11"/>
      <c r="CP23" s="68">
        <v>4500</v>
      </c>
      <c r="CQ23" s="68">
        <v>13000</v>
      </c>
      <c r="CR23" s="68">
        <v>5000</v>
      </c>
      <c r="CS23" s="68">
        <v>1000</v>
      </c>
      <c r="CT23" s="10"/>
      <c r="CU23" s="68">
        <v>6200</v>
      </c>
      <c r="CV23" s="21"/>
      <c r="CW23" s="20"/>
      <c r="CX23" s="10"/>
      <c r="CY23" s="11"/>
      <c r="CZ23" s="24"/>
      <c r="DA23" s="31"/>
    </row>
    <row r="24" spans="1:105">
      <c r="A24" s="9">
        <v>6000</v>
      </c>
      <c r="B24" s="9"/>
      <c r="C24" s="9"/>
      <c r="D24" s="9"/>
      <c r="E24" s="9"/>
      <c r="F24" s="9"/>
      <c r="G24" s="9"/>
      <c r="H24" s="11"/>
      <c r="I24" s="68">
        <v>32930</v>
      </c>
      <c r="J24" s="10"/>
      <c r="K24" s="10"/>
      <c r="L24" s="68">
        <v>22000</v>
      </c>
      <c r="M24" s="10"/>
      <c r="N24" s="10"/>
      <c r="O24" s="21"/>
      <c r="P24" s="20"/>
      <c r="Q24" s="10"/>
      <c r="R24" s="11"/>
      <c r="S24" s="24"/>
      <c r="T24" s="24"/>
      <c r="U24" s="24"/>
      <c r="V24" s="9">
        <v>4500</v>
      </c>
      <c r="W24" s="9">
        <v>5500</v>
      </c>
      <c r="X24" s="9">
        <v>1200</v>
      </c>
      <c r="Y24" s="9">
        <v>800</v>
      </c>
      <c r="Z24" s="9">
        <v>5000</v>
      </c>
      <c r="AA24" s="9">
        <v>2400</v>
      </c>
      <c r="AB24" s="9"/>
      <c r="AC24" s="11"/>
      <c r="AD24" s="68">
        <v>14230</v>
      </c>
      <c r="AE24" s="68">
        <v>8000</v>
      </c>
      <c r="AF24" s="10"/>
      <c r="AG24" s="10"/>
      <c r="AH24" s="10"/>
      <c r="AI24" s="10"/>
      <c r="AJ24" s="21"/>
      <c r="AK24" s="20"/>
      <c r="AL24" s="10"/>
      <c r="AM24" s="11"/>
      <c r="AN24" s="24"/>
      <c r="AO24" s="24"/>
      <c r="AQ24" s="9">
        <v>9000</v>
      </c>
      <c r="AR24" s="9">
        <v>3500</v>
      </c>
      <c r="AS24" s="9">
        <v>5000</v>
      </c>
      <c r="AT24" s="9">
        <v>3500</v>
      </c>
      <c r="AU24" s="9">
        <v>4000</v>
      </c>
      <c r="AV24" s="9">
        <v>10500</v>
      </c>
      <c r="AW24" s="9">
        <v>18000</v>
      </c>
      <c r="AX24" s="11"/>
      <c r="AY24" s="68">
        <v>9500</v>
      </c>
      <c r="AZ24" s="68">
        <v>36080</v>
      </c>
      <c r="BA24" s="10"/>
      <c r="BB24" s="68">
        <v>45000</v>
      </c>
      <c r="BC24" s="68">
        <v>23000</v>
      </c>
      <c r="BD24" s="10"/>
      <c r="BE24" s="21"/>
      <c r="BF24" s="20" t="s">
        <v>55</v>
      </c>
      <c r="BG24" s="10">
        <v>100000</v>
      </c>
      <c r="BH24" s="11"/>
      <c r="BI24" s="24"/>
      <c r="BJ24" s="24"/>
      <c r="BL24" s="9">
        <v>3000</v>
      </c>
      <c r="BM24" s="9">
        <v>3000</v>
      </c>
      <c r="BN24" s="9">
        <v>15000</v>
      </c>
      <c r="BO24" s="9">
        <v>2000</v>
      </c>
      <c r="BP24" s="9">
        <v>3000</v>
      </c>
      <c r="BQ24" s="9">
        <v>800</v>
      </c>
      <c r="BR24" s="9"/>
      <c r="BS24" s="11"/>
      <c r="BT24" s="68">
        <v>6500</v>
      </c>
      <c r="BU24" s="68">
        <v>6100</v>
      </c>
      <c r="BV24" s="68">
        <v>5000</v>
      </c>
      <c r="BW24" s="74">
        <v>40800</v>
      </c>
      <c r="BX24" s="68">
        <v>5000</v>
      </c>
      <c r="BY24" s="10"/>
      <c r="BZ24" s="10"/>
      <c r="CA24" s="21"/>
      <c r="CB24" s="20"/>
      <c r="CC24" s="10"/>
      <c r="CD24" s="11"/>
      <c r="CE24" s="24"/>
      <c r="CF24" s="24"/>
      <c r="CG24" s="24"/>
      <c r="CH24" s="9">
        <v>3500</v>
      </c>
      <c r="CI24" s="9">
        <v>5000</v>
      </c>
      <c r="CJ24" s="9">
        <v>4000</v>
      </c>
      <c r="CK24" s="9">
        <v>4500</v>
      </c>
      <c r="CL24" s="9">
        <v>5000</v>
      </c>
      <c r="CM24" s="9">
        <v>70000</v>
      </c>
      <c r="CN24" s="9"/>
      <c r="CO24" s="11"/>
      <c r="CP24" s="68">
        <v>500</v>
      </c>
      <c r="CQ24" s="68">
        <v>5000</v>
      </c>
      <c r="CR24" s="68">
        <v>3500</v>
      </c>
      <c r="CS24" s="68">
        <v>3000</v>
      </c>
      <c r="CT24" s="10"/>
      <c r="CU24" s="68">
        <v>52500</v>
      </c>
      <c r="CV24" s="21"/>
      <c r="CW24" s="20"/>
      <c r="CX24" s="10"/>
      <c r="CY24" s="11"/>
      <c r="CZ24" s="24"/>
      <c r="DA24" s="24"/>
    </row>
    <row r="25" spans="1:105">
      <c r="A25" s="9">
        <v>5000</v>
      </c>
      <c r="B25" s="9"/>
      <c r="C25" s="9"/>
      <c r="D25" s="9"/>
      <c r="E25" s="9"/>
      <c r="F25" s="9"/>
      <c r="G25" s="9"/>
      <c r="H25" s="11"/>
      <c r="I25" s="68">
        <v>5410</v>
      </c>
      <c r="J25" s="10"/>
      <c r="K25" s="10"/>
      <c r="L25" s="68">
        <v>14450</v>
      </c>
      <c r="M25" s="10"/>
      <c r="N25" s="10"/>
      <c r="O25" s="21"/>
      <c r="P25" s="20"/>
      <c r="Q25" s="10"/>
      <c r="R25" s="11"/>
      <c r="S25" s="24"/>
      <c r="T25" s="24"/>
      <c r="U25" s="24"/>
      <c r="V25" s="9">
        <v>4250</v>
      </c>
      <c r="W25" s="9">
        <v>17500</v>
      </c>
      <c r="X25" s="9">
        <v>14500</v>
      </c>
      <c r="Y25" s="9">
        <v>1000</v>
      </c>
      <c r="Z25" s="9">
        <v>400</v>
      </c>
      <c r="AA25" s="9">
        <v>2000</v>
      </c>
      <c r="AB25" s="9"/>
      <c r="AC25" s="11"/>
      <c r="AD25" s="68">
        <v>33130</v>
      </c>
      <c r="AE25" s="68">
        <v>4450</v>
      </c>
      <c r="AF25" s="10"/>
      <c r="AG25" s="10"/>
      <c r="AH25" s="10"/>
      <c r="AI25" s="10"/>
      <c r="AJ25" s="21"/>
      <c r="AK25" s="20"/>
      <c r="AL25" s="10"/>
      <c r="AM25" s="11"/>
      <c r="AN25" s="24"/>
      <c r="AO25" s="24"/>
      <c r="AQ25" s="9">
        <v>4000</v>
      </c>
      <c r="AR25" s="9">
        <v>3100</v>
      </c>
      <c r="AS25" s="9">
        <v>3000</v>
      </c>
      <c r="AT25" s="9">
        <v>8500</v>
      </c>
      <c r="AU25" s="9">
        <v>18000</v>
      </c>
      <c r="AV25" s="9">
        <v>2500</v>
      </c>
      <c r="AW25" s="9"/>
      <c r="AX25" s="11"/>
      <c r="AY25" s="68">
        <v>2770</v>
      </c>
      <c r="AZ25" s="68">
        <v>9000</v>
      </c>
      <c r="BA25" s="10"/>
      <c r="BB25" s="68">
        <v>5000</v>
      </c>
      <c r="BC25" s="68">
        <v>2000</v>
      </c>
      <c r="BD25" s="10"/>
      <c r="BE25" s="21"/>
      <c r="BF25" s="20" t="s">
        <v>7</v>
      </c>
      <c r="BG25" s="10">
        <v>34600</v>
      </c>
      <c r="BH25" s="11"/>
      <c r="BI25" s="24"/>
      <c r="BJ25" s="24"/>
      <c r="BL25" s="9">
        <v>18000</v>
      </c>
      <c r="BM25" s="9">
        <v>7300</v>
      </c>
      <c r="BN25" s="9">
        <v>8000</v>
      </c>
      <c r="BO25" s="9">
        <v>61000</v>
      </c>
      <c r="BP25" s="9">
        <v>2500</v>
      </c>
      <c r="BQ25" s="9">
        <v>9300</v>
      </c>
      <c r="BR25" s="9"/>
      <c r="BS25" s="11"/>
      <c r="BT25" s="68">
        <v>5000</v>
      </c>
      <c r="BU25" s="68">
        <v>8000</v>
      </c>
      <c r="BV25" s="68">
        <v>5000</v>
      </c>
      <c r="BW25" s="74">
        <v>32260</v>
      </c>
      <c r="BX25" s="68">
        <v>3000</v>
      </c>
      <c r="BY25" s="10"/>
      <c r="BZ25" s="10"/>
      <c r="CA25" s="21"/>
      <c r="CB25" s="20"/>
      <c r="CC25" s="10"/>
      <c r="CD25" s="11"/>
      <c r="CE25" s="24"/>
      <c r="CF25" s="24"/>
      <c r="CG25" s="24"/>
      <c r="CH25" s="9">
        <v>8000</v>
      </c>
      <c r="CI25" s="9">
        <v>5000</v>
      </c>
      <c r="CJ25" s="9">
        <v>10000</v>
      </c>
      <c r="CK25" s="9">
        <v>12500</v>
      </c>
      <c r="CL25" s="9">
        <v>4000</v>
      </c>
      <c r="CM25" s="9">
        <v>1000</v>
      </c>
      <c r="CN25" s="9"/>
      <c r="CO25" s="11"/>
      <c r="CP25" s="68">
        <v>3500</v>
      </c>
      <c r="CQ25" s="68">
        <v>1500</v>
      </c>
      <c r="CR25" s="68">
        <v>12000</v>
      </c>
      <c r="CS25" s="68">
        <v>8000</v>
      </c>
      <c r="CT25" s="10"/>
      <c r="CU25" s="68">
        <v>2800</v>
      </c>
      <c r="CV25" s="21"/>
      <c r="CW25" s="20"/>
      <c r="CX25" s="10"/>
      <c r="CY25" s="11"/>
      <c r="CZ25" s="24"/>
      <c r="DA25" s="24"/>
    </row>
    <row r="26" spans="1:105">
      <c r="A26" s="9">
        <v>15500</v>
      </c>
      <c r="B26" s="9"/>
      <c r="C26" s="9"/>
      <c r="D26" s="9"/>
      <c r="E26" s="9"/>
      <c r="F26" s="9"/>
      <c r="G26" s="9"/>
      <c r="H26" s="11"/>
      <c r="I26" s="10"/>
      <c r="J26" s="10"/>
      <c r="K26" s="10"/>
      <c r="L26" s="68">
        <v>22000</v>
      </c>
      <c r="M26" s="10"/>
      <c r="N26" s="10"/>
      <c r="O26" s="21"/>
      <c r="P26" s="20"/>
      <c r="Q26" s="10"/>
      <c r="R26" s="11"/>
      <c r="S26" s="24"/>
      <c r="T26" s="24"/>
      <c r="U26" s="24"/>
      <c r="V26" s="9">
        <v>22000</v>
      </c>
      <c r="W26" s="9">
        <v>12000</v>
      </c>
      <c r="X26" s="9">
        <v>28000</v>
      </c>
      <c r="Y26" s="9">
        <v>2400</v>
      </c>
      <c r="Z26" s="9">
        <v>1000</v>
      </c>
      <c r="AA26" s="9">
        <v>2500</v>
      </c>
      <c r="AB26" s="9"/>
      <c r="AC26" s="11"/>
      <c r="AD26" s="68">
        <v>15370</v>
      </c>
      <c r="AE26" s="68">
        <v>10000</v>
      </c>
      <c r="AF26" s="10"/>
      <c r="AG26" s="10"/>
      <c r="AH26" s="10"/>
      <c r="AI26" s="10"/>
      <c r="AJ26" s="21"/>
      <c r="AK26" s="20"/>
      <c r="AL26" s="10"/>
      <c r="AM26" s="11"/>
      <c r="AN26" s="24"/>
      <c r="AO26" s="24"/>
      <c r="AQ26" s="9">
        <v>58000</v>
      </c>
      <c r="AR26" s="9">
        <v>18000</v>
      </c>
      <c r="AS26" s="9">
        <v>2000</v>
      </c>
      <c r="AT26" s="9">
        <v>8500</v>
      </c>
      <c r="AU26" s="9">
        <v>16000</v>
      </c>
      <c r="AV26" s="9">
        <v>10000</v>
      </c>
      <c r="AW26" s="9"/>
      <c r="AX26" s="11"/>
      <c r="AY26" s="68">
        <v>2400</v>
      </c>
      <c r="AZ26" s="68">
        <v>8000</v>
      </c>
      <c r="BA26" s="10"/>
      <c r="BB26" s="68">
        <v>19000</v>
      </c>
      <c r="BC26" s="68">
        <v>3000</v>
      </c>
      <c r="BD26" s="10"/>
      <c r="BE26" s="21"/>
      <c r="BF26" s="20" t="s">
        <v>72</v>
      </c>
      <c r="BG26" s="10">
        <v>59700</v>
      </c>
      <c r="BH26" s="11"/>
      <c r="BI26" s="24"/>
      <c r="BJ26" s="24"/>
      <c r="BL26" s="9">
        <v>3000</v>
      </c>
      <c r="BM26" s="9">
        <v>2500</v>
      </c>
      <c r="BN26" s="9">
        <v>3000</v>
      </c>
      <c r="BO26" s="9">
        <v>9000</v>
      </c>
      <c r="BP26" s="9">
        <v>12000</v>
      </c>
      <c r="BQ26" s="9">
        <v>6600</v>
      </c>
      <c r="BR26" s="9"/>
      <c r="BS26" s="11"/>
      <c r="BT26" s="68">
        <v>17550</v>
      </c>
      <c r="BU26" s="68">
        <v>800</v>
      </c>
      <c r="BV26" s="68">
        <v>1000</v>
      </c>
      <c r="BW26" s="74">
        <v>6200</v>
      </c>
      <c r="BX26" s="68">
        <v>3500</v>
      </c>
      <c r="BY26" s="10"/>
      <c r="BZ26" s="10"/>
      <c r="CA26" s="21"/>
      <c r="CB26" s="20"/>
      <c r="CC26" s="10"/>
      <c r="CD26" s="11"/>
      <c r="CE26" s="24"/>
      <c r="CF26" s="24"/>
      <c r="CG26" s="24"/>
      <c r="CH26" s="9">
        <v>6000</v>
      </c>
      <c r="CI26" s="9">
        <v>3500</v>
      </c>
      <c r="CJ26" s="9">
        <v>4000</v>
      </c>
      <c r="CK26" s="9">
        <v>41500</v>
      </c>
      <c r="CL26" s="9">
        <v>1500</v>
      </c>
      <c r="CM26" s="9">
        <v>2500</v>
      </c>
      <c r="CN26" s="9"/>
      <c r="CO26" s="11"/>
      <c r="CP26" s="68">
        <v>34500</v>
      </c>
      <c r="CQ26" s="68">
        <v>8700</v>
      </c>
      <c r="CR26" s="68">
        <v>16000</v>
      </c>
      <c r="CS26" s="68">
        <v>5000</v>
      </c>
      <c r="CT26" s="10"/>
      <c r="CU26" s="68">
        <v>6750</v>
      </c>
      <c r="CV26" s="21"/>
      <c r="CW26" s="20"/>
      <c r="CX26" s="10"/>
      <c r="CY26" s="11"/>
      <c r="CZ26" s="24"/>
      <c r="DA26" s="24"/>
    </row>
    <row r="27" spans="1:105">
      <c r="A27" s="9">
        <v>27000</v>
      </c>
      <c r="B27" s="9"/>
      <c r="C27" s="9"/>
      <c r="D27" s="9"/>
      <c r="E27" s="9"/>
      <c r="F27" s="9"/>
      <c r="G27" s="9"/>
      <c r="H27" s="11"/>
      <c r="I27" s="10"/>
      <c r="J27" s="10"/>
      <c r="K27" s="10"/>
      <c r="L27" s="68">
        <v>7960</v>
      </c>
      <c r="M27" s="10"/>
      <c r="N27" s="10"/>
      <c r="O27" s="21"/>
      <c r="P27" s="20"/>
      <c r="Q27" s="10"/>
      <c r="R27" s="11"/>
      <c r="S27" s="24"/>
      <c r="T27" s="24"/>
      <c r="U27" s="24"/>
      <c r="V27" s="9">
        <v>6500</v>
      </c>
      <c r="W27" s="9">
        <v>3000</v>
      </c>
      <c r="X27" s="9">
        <v>3500</v>
      </c>
      <c r="Y27" s="9">
        <v>3000</v>
      </c>
      <c r="Z27" s="9">
        <v>5500</v>
      </c>
      <c r="AA27" s="9">
        <v>300</v>
      </c>
      <c r="AB27" s="9"/>
      <c r="AC27" s="11"/>
      <c r="AD27" s="68">
        <v>7450</v>
      </c>
      <c r="AE27" s="10"/>
      <c r="AF27" s="10"/>
      <c r="AG27" s="10"/>
      <c r="AH27" s="10"/>
      <c r="AI27" s="10"/>
      <c r="AJ27" s="21"/>
      <c r="AK27" s="20"/>
      <c r="AL27" s="10"/>
      <c r="AM27" s="11"/>
      <c r="AN27" s="24"/>
      <c r="AO27" s="24"/>
      <c r="AQ27" s="9">
        <v>62500</v>
      </c>
      <c r="AR27" s="9">
        <v>1600</v>
      </c>
      <c r="AS27" s="9">
        <v>1500</v>
      </c>
      <c r="AT27" s="9">
        <v>1000</v>
      </c>
      <c r="AU27" s="9">
        <v>11000</v>
      </c>
      <c r="AV27" s="9">
        <v>4000</v>
      </c>
      <c r="AW27" s="9"/>
      <c r="AX27" s="11"/>
      <c r="AY27" s="68">
        <v>1110</v>
      </c>
      <c r="AZ27" s="68">
        <v>2200</v>
      </c>
      <c r="BA27" s="10"/>
      <c r="BB27" s="68">
        <v>2500</v>
      </c>
      <c r="BC27" s="68">
        <v>4000</v>
      </c>
      <c r="BD27" s="10"/>
      <c r="BE27" s="21"/>
      <c r="BF27" s="20" t="s">
        <v>101</v>
      </c>
      <c r="BG27" s="10">
        <v>188560</v>
      </c>
      <c r="BH27" s="11"/>
      <c r="BI27" s="24"/>
      <c r="BJ27" s="24"/>
      <c r="BL27" s="9">
        <v>4500</v>
      </c>
      <c r="BM27" s="9">
        <v>6500</v>
      </c>
      <c r="BN27" s="9">
        <v>12000</v>
      </c>
      <c r="BO27" s="9">
        <v>30000</v>
      </c>
      <c r="BP27" s="9">
        <v>5000</v>
      </c>
      <c r="BQ27" s="9">
        <v>2200</v>
      </c>
      <c r="BR27" s="9"/>
      <c r="BS27" s="11"/>
      <c r="BT27" s="68">
        <v>2500</v>
      </c>
      <c r="BU27" s="68">
        <v>71140</v>
      </c>
      <c r="BV27" s="68">
        <v>3360</v>
      </c>
      <c r="BW27" s="74">
        <v>7000</v>
      </c>
      <c r="BX27" s="68">
        <v>30600</v>
      </c>
      <c r="BY27" s="10"/>
      <c r="BZ27" s="10"/>
      <c r="CA27" s="21"/>
      <c r="CB27" s="20"/>
      <c r="CC27" s="10"/>
      <c r="CD27" s="11"/>
      <c r="CE27" s="24"/>
      <c r="CF27" s="24"/>
      <c r="CG27" s="24"/>
      <c r="CH27" s="9">
        <v>3000</v>
      </c>
      <c r="CI27" s="9">
        <v>29000</v>
      </c>
      <c r="CJ27" s="9">
        <v>7400</v>
      </c>
      <c r="CK27" s="9">
        <v>4000</v>
      </c>
      <c r="CL27" s="9">
        <v>3300</v>
      </c>
      <c r="CM27" s="9">
        <v>2500</v>
      </c>
      <c r="CN27" s="9"/>
      <c r="CO27" s="11"/>
      <c r="CP27" s="68">
        <v>2000</v>
      </c>
      <c r="CQ27" s="68">
        <v>3360</v>
      </c>
      <c r="CR27" s="68">
        <v>6000</v>
      </c>
      <c r="CS27" s="68">
        <v>900</v>
      </c>
      <c r="CT27" s="10"/>
      <c r="CU27" s="68">
        <v>2500</v>
      </c>
      <c r="CV27" s="21"/>
      <c r="CW27" s="20"/>
      <c r="CX27" s="10"/>
      <c r="CY27" s="11"/>
      <c r="CZ27" s="24"/>
      <c r="DA27" s="24"/>
    </row>
    <row r="28" spans="1:105">
      <c r="A28" s="9">
        <v>8000</v>
      </c>
      <c r="B28" s="9"/>
      <c r="C28" s="9"/>
      <c r="D28" s="9"/>
      <c r="E28" s="9"/>
      <c r="F28" s="9"/>
      <c r="G28" s="9"/>
      <c r="H28" s="11"/>
      <c r="I28" s="10"/>
      <c r="J28" s="10"/>
      <c r="K28" s="10"/>
      <c r="L28" s="68">
        <v>3000</v>
      </c>
      <c r="M28" s="10"/>
      <c r="N28" s="10"/>
      <c r="O28" s="21"/>
      <c r="P28" s="20"/>
      <c r="Q28" s="10"/>
      <c r="R28" s="11"/>
      <c r="S28" s="24"/>
      <c r="T28" s="34"/>
      <c r="U28" s="24"/>
      <c r="V28" s="9">
        <v>10300</v>
      </c>
      <c r="W28" s="9">
        <v>20000</v>
      </c>
      <c r="X28" s="9">
        <v>10000</v>
      </c>
      <c r="Y28" s="9">
        <v>5500</v>
      </c>
      <c r="Z28" s="9">
        <v>2500</v>
      </c>
      <c r="AA28" s="9">
        <v>2500</v>
      </c>
      <c r="AB28" s="9"/>
      <c r="AC28" s="11"/>
      <c r="AD28" s="68">
        <v>6730</v>
      </c>
      <c r="AE28" s="10"/>
      <c r="AF28" s="10"/>
      <c r="AG28" s="10"/>
      <c r="AH28" s="10"/>
      <c r="AI28" s="10"/>
      <c r="AJ28" s="21"/>
      <c r="AK28" s="20"/>
      <c r="AL28" s="10"/>
      <c r="AM28" s="11"/>
      <c r="AN28" s="24"/>
      <c r="AO28" s="34"/>
      <c r="AQ28" s="9">
        <v>3500</v>
      </c>
      <c r="AR28" s="9">
        <v>4500</v>
      </c>
      <c r="AS28" s="9">
        <v>16400</v>
      </c>
      <c r="AT28" s="9">
        <v>10300</v>
      </c>
      <c r="AU28" s="9">
        <v>12000</v>
      </c>
      <c r="AV28" s="9">
        <v>24000</v>
      </c>
      <c r="AW28" s="9"/>
      <c r="AX28" s="11"/>
      <c r="AY28" s="68">
        <v>800</v>
      </c>
      <c r="AZ28" s="68">
        <v>18000</v>
      </c>
      <c r="BA28" s="10"/>
      <c r="BB28" s="68">
        <v>1250</v>
      </c>
      <c r="BC28" s="68">
        <v>2500</v>
      </c>
      <c r="BD28" s="10"/>
      <c r="BE28" s="21"/>
      <c r="BF28" s="20"/>
      <c r="BG28" s="10"/>
      <c r="BH28" s="11"/>
      <c r="BI28" s="24"/>
      <c r="BJ28" s="34"/>
      <c r="BL28" s="9">
        <v>3500</v>
      </c>
      <c r="BM28" s="9">
        <v>6000</v>
      </c>
      <c r="BN28" s="9">
        <v>5600</v>
      </c>
      <c r="BO28" s="9">
        <v>9200</v>
      </c>
      <c r="BP28" s="9">
        <v>5000</v>
      </c>
      <c r="BQ28" s="9">
        <v>5000</v>
      </c>
      <c r="BR28" s="9"/>
      <c r="BS28" s="11"/>
      <c r="BT28" s="68">
        <v>2500</v>
      </c>
      <c r="BU28" s="68">
        <v>23000</v>
      </c>
      <c r="BV28" s="68">
        <v>8200</v>
      </c>
      <c r="BW28" s="78"/>
      <c r="BX28" s="68">
        <v>16000</v>
      </c>
      <c r="BY28" s="10"/>
      <c r="BZ28" s="10"/>
      <c r="CA28" s="21"/>
      <c r="CB28" s="20"/>
      <c r="CC28" s="10"/>
      <c r="CD28" s="11"/>
      <c r="CE28" s="24"/>
      <c r="CF28" s="34"/>
      <c r="CG28" s="24"/>
      <c r="CH28" s="9">
        <v>7200</v>
      </c>
      <c r="CI28" s="9">
        <v>1000</v>
      </c>
      <c r="CJ28" s="9">
        <v>2500</v>
      </c>
      <c r="CK28" s="9">
        <v>28000</v>
      </c>
      <c r="CL28" s="9">
        <v>3500</v>
      </c>
      <c r="CM28" s="9">
        <v>3500</v>
      </c>
      <c r="CN28" s="9"/>
      <c r="CO28" s="11"/>
      <c r="CP28" s="68">
        <v>26000</v>
      </c>
      <c r="CQ28" s="68">
        <v>4320</v>
      </c>
      <c r="CR28" s="68">
        <v>9000</v>
      </c>
      <c r="CS28" s="68">
        <v>5000</v>
      </c>
      <c r="CT28" s="10"/>
      <c r="CU28" s="68">
        <v>14500</v>
      </c>
      <c r="CV28" s="21"/>
      <c r="CW28" s="20"/>
      <c r="CX28" s="10"/>
      <c r="CY28" s="11"/>
      <c r="CZ28" s="24"/>
      <c r="DA28" s="34"/>
    </row>
    <row r="29" spans="1:105">
      <c r="A29" s="9">
        <v>4000</v>
      </c>
      <c r="B29" s="9"/>
      <c r="C29" s="9"/>
      <c r="D29" s="9"/>
      <c r="E29" s="9"/>
      <c r="F29" s="9"/>
      <c r="G29" s="9"/>
      <c r="H29" s="11"/>
      <c r="I29" s="10"/>
      <c r="J29" s="10"/>
      <c r="K29" s="10"/>
      <c r="L29" s="68">
        <v>11500</v>
      </c>
      <c r="M29" s="10"/>
      <c r="N29" s="10"/>
      <c r="O29" s="21"/>
      <c r="P29" s="20"/>
      <c r="Q29" s="10"/>
      <c r="R29" s="11"/>
      <c r="S29" s="24"/>
      <c r="T29" s="24"/>
      <c r="U29" s="24"/>
      <c r="V29" s="9">
        <v>500</v>
      </c>
      <c r="W29" s="9">
        <v>700</v>
      </c>
      <c r="X29" s="9">
        <v>3500</v>
      </c>
      <c r="Y29" s="9">
        <v>1200</v>
      </c>
      <c r="Z29" s="9">
        <v>6000</v>
      </c>
      <c r="AA29" s="9">
        <v>100000</v>
      </c>
      <c r="AB29" s="9"/>
      <c r="AC29" s="11"/>
      <c r="AD29" s="68">
        <v>15370</v>
      </c>
      <c r="AE29" s="10"/>
      <c r="AF29" s="10"/>
      <c r="AG29" s="10"/>
      <c r="AH29" s="10"/>
      <c r="AI29" s="10"/>
      <c r="AJ29" s="21"/>
      <c r="AK29" s="20"/>
      <c r="AL29" s="10"/>
      <c r="AM29" s="11"/>
      <c r="AN29" s="24"/>
      <c r="AO29" s="24"/>
      <c r="AQ29" s="9">
        <v>11000</v>
      </c>
      <c r="AR29" s="9">
        <v>500</v>
      </c>
      <c r="AS29" s="9">
        <v>3000</v>
      </c>
      <c r="AT29" s="9">
        <v>10000</v>
      </c>
      <c r="AU29" s="9">
        <v>3500</v>
      </c>
      <c r="AV29" s="9">
        <v>4800</v>
      </c>
      <c r="AW29" s="9"/>
      <c r="AX29" s="11"/>
      <c r="AY29" s="68">
        <v>7500</v>
      </c>
      <c r="AZ29" s="68">
        <v>2000</v>
      </c>
      <c r="BA29" s="10"/>
      <c r="BB29" s="68">
        <v>1000</v>
      </c>
      <c r="BC29" s="68">
        <v>7000</v>
      </c>
      <c r="BD29" s="10"/>
      <c r="BE29" s="21"/>
      <c r="BF29" s="20"/>
      <c r="BG29" s="10"/>
      <c r="BH29" s="11"/>
      <c r="BI29" s="24"/>
      <c r="BJ29" s="24"/>
      <c r="BL29" s="9">
        <v>38700</v>
      </c>
      <c r="BM29" s="9">
        <v>2000</v>
      </c>
      <c r="BN29" s="9">
        <v>3000</v>
      </c>
      <c r="BO29" s="9">
        <v>8500</v>
      </c>
      <c r="BP29" s="9">
        <v>1000</v>
      </c>
      <c r="BQ29" s="9">
        <v>15000</v>
      </c>
      <c r="BR29" s="9"/>
      <c r="BS29" s="11"/>
      <c r="BT29" s="68">
        <v>2470</v>
      </c>
      <c r="BU29" s="68">
        <v>5000</v>
      </c>
      <c r="BV29" s="68">
        <v>16400</v>
      </c>
      <c r="BW29" s="78"/>
      <c r="BX29" s="68">
        <v>13000</v>
      </c>
      <c r="BY29" s="10"/>
      <c r="BZ29" s="10"/>
      <c r="CA29" s="21"/>
      <c r="CB29" s="20"/>
      <c r="CC29" s="10"/>
      <c r="CD29" s="11"/>
      <c r="CE29" s="24"/>
      <c r="CF29" s="24"/>
      <c r="CG29" s="24"/>
      <c r="CH29" s="9">
        <v>3500</v>
      </c>
      <c r="CI29" s="9">
        <v>15500</v>
      </c>
      <c r="CJ29" s="9">
        <v>1000</v>
      </c>
      <c r="CK29" s="9">
        <v>2000</v>
      </c>
      <c r="CL29" s="9">
        <v>5000</v>
      </c>
      <c r="CM29" s="9">
        <v>2500</v>
      </c>
      <c r="CN29" s="9"/>
      <c r="CO29" s="11"/>
      <c r="CP29" s="68">
        <v>5500</v>
      </c>
      <c r="CQ29" s="74">
        <v>9500</v>
      </c>
      <c r="CR29" s="68">
        <v>9500</v>
      </c>
      <c r="CS29" s="68">
        <v>3000</v>
      </c>
      <c r="CT29" s="10"/>
      <c r="CU29" s="68">
        <v>6500</v>
      </c>
      <c r="CV29" s="21"/>
      <c r="CW29" s="20"/>
      <c r="CX29" s="10"/>
      <c r="CY29" s="11"/>
      <c r="CZ29" s="24"/>
      <c r="DA29" s="24"/>
    </row>
    <row r="30" spans="1:105">
      <c r="A30" s="9">
        <v>5500</v>
      </c>
      <c r="B30" s="9"/>
      <c r="C30" s="9"/>
      <c r="D30" s="9"/>
      <c r="E30" s="9"/>
      <c r="F30" s="9"/>
      <c r="G30" s="9"/>
      <c r="H30" s="11"/>
      <c r="I30" s="10"/>
      <c r="J30" s="10"/>
      <c r="K30" s="10"/>
      <c r="L30" s="68">
        <v>1000</v>
      </c>
      <c r="M30" s="10"/>
      <c r="N30" s="10"/>
      <c r="O30" s="21"/>
      <c r="P30" s="20"/>
      <c r="Q30" s="10"/>
      <c r="R30" s="11"/>
      <c r="S30" s="24"/>
      <c r="T30" s="24"/>
      <c r="U30" s="24"/>
      <c r="V30" s="9">
        <v>18000</v>
      </c>
      <c r="W30" s="9">
        <v>600</v>
      </c>
      <c r="X30" s="9">
        <v>14000</v>
      </c>
      <c r="Y30" s="9">
        <v>1000</v>
      </c>
      <c r="Z30" s="9">
        <v>6000</v>
      </c>
      <c r="AA30" s="9">
        <v>5000</v>
      </c>
      <c r="AB30" s="9"/>
      <c r="AC30" s="11"/>
      <c r="AD30" s="68">
        <v>6730</v>
      </c>
      <c r="AE30" s="10"/>
      <c r="AF30" s="10"/>
      <c r="AG30" s="10"/>
      <c r="AH30" s="10"/>
      <c r="AI30" s="10"/>
      <c r="AJ30" s="21"/>
      <c r="AK30" s="20"/>
      <c r="AL30" s="10"/>
      <c r="AM30" s="11"/>
      <c r="AN30" s="24"/>
      <c r="AO30" s="24"/>
      <c r="AQ30" s="9">
        <v>22000</v>
      </c>
      <c r="AR30" s="9">
        <v>3200</v>
      </c>
      <c r="AS30" s="9">
        <v>4000</v>
      </c>
      <c r="AT30" s="9">
        <v>1500</v>
      </c>
      <c r="AU30" s="9">
        <v>300</v>
      </c>
      <c r="AV30" s="9">
        <v>3600</v>
      </c>
      <c r="AW30" s="9"/>
      <c r="AX30" s="11"/>
      <c r="AY30" s="68">
        <v>5280</v>
      </c>
      <c r="AZ30" s="68">
        <v>39530</v>
      </c>
      <c r="BA30" s="10"/>
      <c r="BB30" s="68">
        <v>5500</v>
      </c>
      <c r="BC30" s="68">
        <v>5500</v>
      </c>
      <c r="BD30" s="10"/>
      <c r="BE30" s="21"/>
      <c r="BF30" s="20"/>
      <c r="BG30" s="10"/>
      <c r="BH30" s="11"/>
      <c r="BI30" s="24"/>
      <c r="BJ30" s="24"/>
      <c r="BL30" s="9">
        <v>20000</v>
      </c>
      <c r="BM30" s="9">
        <v>3500</v>
      </c>
      <c r="BN30" s="9">
        <v>2500</v>
      </c>
      <c r="BO30" s="9">
        <v>14200</v>
      </c>
      <c r="BP30" s="9">
        <v>8000</v>
      </c>
      <c r="BQ30" s="9">
        <v>2000</v>
      </c>
      <c r="BR30" s="9"/>
      <c r="BS30" s="11"/>
      <c r="BT30" s="68">
        <v>13700</v>
      </c>
      <c r="BU30" s="68">
        <v>4500</v>
      </c>
      <c r="BV30" s="68">
        <v>4500</v>
      </c>
      <c r="BW30" s="78"/>
      <c r="BX30" s="68">
        <v>2000</v>
      </c>
      <c r="BY30" s="10"/>
      <c r="BZ30" s="10"/>
      <c r="CA30" s="21"/>
      <c r="CB30" s="20"/>
      <c r="CC30" s="10"/>
      <c r="CD30" s="11"/>
      <c r="CE30" s="24" t="s">
        <v>102</v>
      </c>
      <c r="CF30" s="24">
        <v>42000</v>
      </c>
      <c r="CG30" s="24">
        <v>9000</v>
      </c>
      <c r="CH30" s="9">
        <v>10000</v>
      </c>
      <c r="CI30" s="9">
        <v>1000</v>
      </c>
      <c r="CJ30" s="9">
        <v>15000</v>
      </c>
      <c r="CK30" s="9">
        <v>7000</v>
      </c>
      <c r="CL30" s="9">
        <v>4000</v>
      </c>
      <c r="CM30" s="9">
        <v>800</v>
      </c>
      <c r="CN30" s="9"/>
      <c r="CO30" s="11"/>
      <c r="CP30" s="68">
        <v>24390</v>
      </c>
      <c r="CQ30" s="74">
        <v>6500</v>
      </c>
      <c r="CR30" s="68">
        <v>10500</v>
      </c>
      <c r="CS30" s="68">
        <v>11500</v>
      </c>
      <c r="CT30" s="10"/>
      <c r="CU30" s="68">
        <v>14000</v>
      </c>
      <c r="CV30" s="21"/>
      <c r="CW30" s="20"/>
      <c r="CX30" s="10"/>
      <c r="CY30" s="11"/>
      <c r="CZ30" s="24"/>
      <c r="DA30" s="24"/>
    </row>
    <row r="31" spans="1:105">
      <c r="A31" s="9">
        <v>8500</v>
      </c>
      <c r="B31" s="9"/>
      <c r="C31" s="9"/>
      <c r="D31" s="9"/>
      <c r="E31" s="9"/>
      <c r="F31" s="9"/>
      <c r="G31" s="9"/>
      <c r="H31" s="11"/>
      <c r="I31" s="10"/>
      <c r="J31" s="10"/>
      <c r="K31" s="10"/>
      <c r="L31" s="68">
        <v>5000</v>
      </c>
      <c r="M31" s="10"/>
      <c r="N31" s="10"/>
      <c r="O31" s="21"/>
      <c r="P31" s="20"/>
      <c r="Q31" s="10"/>
      <c r="R31" s="11"/>
      <c r="S31" s="24"/>
      <c r="T31" s="24"/>
      <c r="U31" s="24"/>
      <c r="V31" s="9">
        <v>20000</v>
      </c>
      <c r="W31" s="9">
        <v>3500</v>
      </c>
      <c r="X31" s="9">
        <v>105000</v>
      </c>
      <c r="Y31" s="9">
        <v>2000</v>
      </c>
      <c r="Z31" s="9">
        <v>1000</v>
      </c>
      <c r="AA31" s="9">
        <v>1000</v>
      </c>
      <c r="AB31" s="9"/>
      <c r="AC31" s="11"/>
      <c r="AD31" s="68">
        <v>3500</v>
      </c>
      <c r="AE31" s="10"/>
      <c r="AF31" s="10"/>
      <c r="AG31" s="10"/>
      <c r="AH31" s="10"/>
      <c r="AI31" s="10"/>
      <c r="AJ31" s="21"/>
      <c r="AK31" s="20"/>
      <c r="AL31" s="10"/>
      <c r="AM31" s="11"/>
      <c r="AN31" s="24"/>
      <c r="AO31" s="24"/>
      <c r="AQ31" s="9">
        <v>2600</v>
      </c>
      <c r="AR31" s="9">
        <v>9500</v>
      </c>
      <c r="AS31" s="9">
        <v>42500</v>
      </c>
      <c r="AT31" s="9">
        <v>18500</v>
      </c>
      <c r="AU31" s="9">
        <v>49000</v>
      </c>
      <c r="AV31" s="9">
        <v>4000</v>
      </c>
      <c r="AW31" s="9"/>
      <c r="AX31" s="11"/>
      <c r="AY31" s="68">
        <v>8650</v>
      </c>
      <c r="AZ31" s="68">
        <v>2580</v>
      </c>
      <c r="BA31" s="10"/>
      <c r="BB31" s="68">
        <v>10000</v>
      </c>
      <c r="BC31" s="68">
        <v>2800</v>
      </c>
      <c r="BD31" s="10"/>
      <c r="BE31" s="21"/>
      <c r="BF31" s="20" t="s">
        <v>50</v>
      </c>
      <c r="BG31" s="10">
        <v>40000</v>
      </c>
      <c r="BH31" s="11"/>
      <c r="BI31" s="24"/>
      <c r="BJ31" s="24"/>
      <c r="BL31" s="9">
        <v>600</v>
      </c>
      <c r="BM31" s="9">
        <v>30000</v>
      </c>
      <c r="BN31" s="9">
        <v>2000</v>
      </c>
      <c r="BO31" s="9">
        <v>20000</v>
      </c>
      <c r="BP31" s="9">
        <v>1500</v>
      </c>
      <c r="BQ31" s="9">
        <v>4500</v>
      </c>
      <c r="BR31" s="9"/>
      <c r="BS31" s="11"/>
      <c r="BT31" s="68">
        <v>24000</v>
      </c>
      <c r="BU31" s="68">
        <v>25200</v>
      </c>
      <c r="BV31" s="68">
        <v>13000</v>
      </c>
      <c r="BW31" s="78"/>
      <c r="BX31" s="68">
        <v>66000</v>
      </c>
      <c r="BY31" s="10"/>
      <c r="BZ31" s="10"/>
      <c r="CA31" s="21"/>
      <c r="CB31" s="20" t="s">
        <v>50</v>
      </c>
      <c r="CC31" s="10">
        <v>300000</v>
      </c>
      <c r="CD31" s="11"/>
      <c r="CE31" s="24"/>
      <c r="CF31" s="24"/>
      <c r="CG31" s="24">
        <v>6000</v>
      </c>
      <c r="CH31" s="9">
        <v>2000</v>
      </c>
      <c r="CI31" s="9">
        <v>40000</v>
      </c>
      <c r="CJ31" s="9">
        <v>6500</v>
      </c>
      <c r="CK31" s="9">
        <v>2000</v>
      </c>
      <c r="CL31" s="9">
        <v>5000</v>
      </c>
      <c r="CM31" s="9">
        <v>1800</v>
      </c>
      <c r="CN31" s="9"/>
      <c r="CO31" s="11"/>
      <c r="CP31" s="68">
        <v>6100</v>
      </c>
      <c r="CQ31" s="68">
        <v>5800</v>
      </c>
      <c r="CR31" s="68">
        <v>2000</v>
      </c>
      <c r="CS31" s="68">
        <v>25000</v>
      </c>
      <c r="CT31" s="10"/>
      <c r="CU31" s="68">
        <v>9000</v>
      </c>
      <c r="CV31" s="21"/>
      <c r="CW31" s="20"/>
      <c r="CX31" s="10"/>
      <c r="CY31" s="11"/>
      <c r="CZ31" s="24"/>
      <c r="DA31" s="24"/>
    </row>
    <row r="32" spans="1:105">
      <c r="A32" s="9">
        <v>5000</v>
      </c>
      <c r="B32" s="9"/>
      <c r="C32" s="9"/>
      <c r="D32" s="9"/>
      <c r="E32" s="9"/>
      <c r="F32" s="9"/>
      <c r="G32" s="9"/>
      <c r="H32" s="11"/>
      <c r="I32" s="10"/>
      <c r="J32" s="10"/>
      <c r="K32" s="10"/>
      <c r="L32" s="68">
        <v>8000</v>
      </c>
      <c r="M32" s="10"/>
      <c r="N32" s="10"/>
      <c r="O32" s="21"/>
      <c r="P32" s="20"/>
      <c r="Q32" s="10"/>
      <c r="R32" s="11"/>
      <c r="S32" s="24"/>
      <c r="T32" s="24"/>
      <c r="U32" s="24"/>
      <c r="V32" s="9">
        <v>15000</v>
      </c>
      <c r="W32" s="9">
        <v>1000</v>
      </c>
      <c r="X32" s="9">
        <v>3500</v>
      </c>
      <c r="Y32" s="9">
        <v>2000</v>
      </c>
      <c r="Z32" s="9">
        <v>10500</v>
      </c>
      <c r="AA32" s="9">
        <v>2000</v>
      </c>
      <c r="AB32" s="9"/>
      <c r="AC32" s="11"/>
      <c r="AD32" s="68">
        <v>6730</v>
      </c>
      <c r="AE32" s="10"/>
      <c r="AF32" s="10"/>
      <c r="AG32" s="10"/>
      <c r="AH32" s="10"/>
      <c r="AI32" s="10"/>
      <c r="AJ32" s="21"/>
      <c r="AK32" s="20"/>
      <c r="AL32" s="10"/>
      <c r="AM32" s="11"/>
      <c r="AN32" s="24"/>
      <c r="AO32" s="24"/>
      <c r="AQ32" s="9">
        <v>1000</v>
      </c>
      <c r="AR32" s="9">
        <v>1000</v>
      </c>
      <c r="AS32" s="9">
        <v>2500</v>
      </c>
      <c r="AT32" s="9">
        <v>3000</v>
      </c>
      <c r="AU32" s="9">
        <v>1500</v>
      </c>
      <c r="AV32" s="9">
        <v>1500</v>
      </c>
      <c r="AW32" s="9"/>
      <c r="AX32" s="11"/>
      <c r="AY32" s="68">
        <v>10570</v>
      </c>
      <c r="AZ32" s="68">
        <v>3460</v>
      </c>
      <c r="BA32" s="10"/>
      <c r="BB32" s="68">
        <v>1500</v>
      </c>
      <c r="BC32" s="68">
        <v>600</v>
      </c>
      <c r="BD32" s="10"/>
      <c r="BE32" s="21"/>
      <c r="BF32" s="20" t="s">
        <v>50</v>
      </c>
      <c r="BG32" s="10">
        <v>260000</v>
      </c>
      <c r="BH32" s="11"/>
      <c r="BI32" s="24"/>
      <c r="BJ32" s="24"/>
      <c r="BL32" s="9">
        <v>300</v>
      </c>
      <c r="BM32" s="9">
        <v>10300</v>
      </c>
      <c r="BN32" s="9">
        <v>1500</v>
      </c>
      <c r="BO32" s="9">
        <v>2000</v>
      </c>
      <c r="BP32" s="9">
        <v>14500</v>
      </c>
      <c r="BQ32" s="9">
        <v>3000</v>
      </c>
      <c r="BR32" s="9"/>
      <c r="BS32" s="11"/>
      <c r="BT32" s="68">
        <v>7500</v>
      </c>
      <c r="BU32" s="68">
        <v>5280</v>
      </c>
      <c r="BV32" s="68">
        <v>46500</v>
      </c>
      <c r="BW32" s="78"/>
      <c r="BX32" s="68">
        <v>31800</v>
      </c>
      <c r="BY32" s="10"/>
      <c r="BZ32" s="10"/>
      <c r="CA32" s="21"/>
      <c r="CB32" s="20" t="s">
        <v>53</v>
      </c>
      <c r="CC32" s="10">
        <v>300000</v>
      </c>
      <c r="CD32" s="11"/>
      <c r="CE32" s="24"/>
      <c r="CF32" s="24"/>
      <c r="CG32" s="24"/>
      <c r="CH32" s="9">
        <v>300</v>
      </c>
      <c r="CI32" s="9">
        <v>4500</v>
      </c>
      <c r="CJ32" s="9">
        <v>3800</v>
      </c>
      <c r="CK32" s="9">
        <v>2500</v>
      </c>
      <c r="CL32" s="9">
        <v>7000</v>
      </c>
      <c r="CM32" s="9">
        <v>2000</v>
      </c>
      <c r="CN32" s="9"/>
      <c r="CO32" s="11"/>
      <c r="CP32" s="68">
        <v>15000</v>
      </c>
      <c r="CQ32" s="68">
        <v>8500</v>
      </c>
      <c r="CR32" s="68">
        <v>13000</v>
      </c>
      <c r="CS32" s="68">
        <v>5760</v>
      </c>
      <c r="CT32" s="10"/>
      <c r="CU32" s="68">
        <v>19000</v>
      </c>
      <c r="CV32" s="21"/>
      <c r="CW32" s="20"/>
      <c r="CX32" s="10"/>
      <c r="CY32" s="11"/>
      <c r="CZ32" s="24"/>
      <c r="DA32" s="24"/>
    </row>
    <row r="33" spans="1:105">
      <c r="A33" s="9">
        <v>600</v>
      </c>
      <c r="B33" s="9"/>
      <c r="C33" s="9"/>
      <c r="D33" s="9"/>
      <c r="E33" s="9"/>
      <c r="F33" s="9"/>
      <c r="G33" s="9"/>
      <c r="H33" s="11"/>
      <c r="I33" s="10"/>
      <c r="J33" s="10"/>
      <c r="K33" s="10"/>
      <c r="L33" s="68">
        <v>3500</v>
      </c>
      <c r="M33" s="10"/>
      <c r="N33" s="10"/>
      <c r="O33" s="21"/>
      <c r="P33" s="20"/>
      <c r="Q33" s="10"/>
      <c r="R33" s="11"/>
      <c r="S33" s="24"/>
      <c r="T33" s="24"/>
      <c r="U33" s="24"/>
      <c r="V33" s="9">
        <v>2000</v>
      </c>
      <c r="W33" s="9">
        <v>2000</v>
      </c>
      <c r="X33" s="9">
        <v>2250</v>
      </c>
      <c r="Y33" s="9">
        <v>1400</v>
      </c>
      <c r="Z33" s="9">
        <v>6000</v>
      </c>
      <c r="AA33" s="9">
        <v>3500</v>
      </c>
      <c r="AB33" s="9"/>
      <c r="AC33" s="11"/>
      <c r="AD33" s="68">
        <v>15250</v>
      </c>
      <c r="AE33" s="10"/>
      <c r="AF33" s="10"/>
      <c r="AG33" s="10"/>
      <c r="AH33" s="10"/>
      <c r="AI33" s="10"/>
      <c r="AJ33" s="21"/>
      <c r="AK33" s="20" t="s">
        <v>53</v>
      </c>
      <c r="AL33" s="10">
        <v>300000</v>
      </c>
      <c r="AM33" s="11"/>
      <c r="AN33" s="24"/>
      <c r="AO33" s="24"/>
      <c r="AQ33" s="9">
        <v>2000</v>
      </c>
      <c r="AR33" s="9">
        <v>15800</v>
      </c>
      <c r="AS33" s="9">
        <v>7500</v>
      </c>
      <c r="AT33" s="9">
        <v>5500</v>
      </c>
      <c r="AU33" s="9">
        <v>2400</v>
      </c>
      <c r="AV33" s="9">
        <v>4000</v>
      </c>
      <c r="AW33" s="9"/>
      <c r="AX33" s="11"/>
      <c r="AY33" s="68">
        <v>3000</v>
      </c>
      <c r="AZ33" s="68">
        <v>2880</v>
      </c>
      <c r="BA33" s="10"/>
      <c r="BB33" s="68">
        <v>2000</v>
      </c>
      <c r="BC33" s="68">
        <v>5000</v>
      </c>
      <c r="BD33" s="10"/>
      <c r="BE33" s="21"/>
      <c r="BF33" s="20" t="s">
        <v>53</v>
      </c>
      <c r="BG33" s="10">
        <v>300000</v>
      </c>
      <c r="BH33" s="11"/>
      <c r="BI33" s="24"/>
      <c r="BJ33" s="24"/>
      <c r="BL33" s="9">
        <v>4500</v>
      </c>
      <c r="BM33" s="9">
        <v>5500</v>
      </c>
      <c r="BN33" s="9">
        <v>12000</v>
      </c>
      <c r="BO33" s="9">
        <v>4500</v>
      </c>
      <c r="BP33" s="9">
        <v>10000</v>
      </c>
      <c r="BQ33" s="9">
        <v>7000</v>
      </c>
      <c r="BR33" s="9"/>
      <c r="BS33" s="11"/>
      <c r="BT33" s="68">
        <v>4320</v>
      </c>
      <c r="BU33" s="68">
        <v>8600</v>
      </c>
      <c r="BV33" s="68">
        <v>10000</v>
      </c>
      <c r="BW33" s="78"/>
      <c r="BX33" s="68">
        <v>3000</v>
      </c>
      <c r="BY33" s="10"/>
      <c r="BZ33" s="10"/>
      <c r="CA33" s="21"/>
      <c r="CB33" s="20"/>
      <c r="CC33" s="10"/>
      <c r="CD33" s="11"/>
      <c r="CE33" s="24"/>
      <c r="CF33" s="24"/>
      <c r="CG33" s="24"/>
      <c r="CH33" s="9">
        <v>3000</v>
      </c>
      <c r="CI33" s="9">
        <v>6000</v>
      </c>
      <c r="CJ33" s="9">
        <v>2500</v>
      </c>
      <c r="CK33" s="9">
        <v>3800</v>
      </c>
      <c r="CL33" s="9">
        <v>6500</v>
      </c>
      <c r="CM33" s="9">
        <v>3500</v>
      </c>
      <c r="CN33" s="9"/>
      <c r="CO33" s="11"/>
      <c r="CP33" s="68">
        <v>2000</v>
      </c>
      <c r="CQ33" s="68">
        <v>6720</v>
      </c>
      <c r="CR33" s="68">
        <v>59600</v>
      </c>
      <c r="CS33" s="68">
        <v>7000</v>
      </c>
      <c r="CT33" s="10"/>
      <c r="CU33" s="68">
        <v>2800</v>
      </c>
      <c r="CV33" s="21"/>
      <c r="CW33" s="20" t="s">
        <v>53</v>
      </c>
      <c r="CX33" s="10">
        <v>300000</v>
      </c>
      <c r="CY33" s="11"/>
      <c r="CZ33" s="24"/>
      <c r="DA33" s="24"/>
    </row>
    <row r="34" spans="1:105">
      <c r="A34" s="9">
        <v>8000</v>
      </c>
      <c r="B34" s="9"/>
      <c r="C34" s="9"/>
      <c r="D34" s="9"/>
      <c r="E34" s="9"/>
      <c r="F34" s="9"/>
      <c r="G34" s="9"/>
      <c r="H34" s="11"/>
      <c r="I34" s="10"/>
      <c r="J34" s="10"/>
      <c r="K34" s="10"/>
      <c r="L34" s="68">
        <v>1500</v>
      </c>
      <c r="M34" s="10"/>
      <c r="N34" s="10"/>
      <c r="O34" s="21"/>
      <c r="P34" s="20"/>
      <c r="Q34" s="10"/>
      <c r="R34" s="11"/>
      <c r="S34" s="24"/>
      <c r="T34" s="34"/>
      <c r="U34" s="24"/>
      <c r="V34" s="9">
        <v>49200</v>
      </c>
      <c r="W34" s="9">
        <v>2500</v>
      </c>
      <c r="X34" s="9">
        <v>6100</v>
      </c>
      <c r="Y34" s="9">
        <v>7500</v>
      </c>
      <c r="Z34" s="9">
        <v>3500</v>
      </c>
      <c r="AA34" s="9">
        <v>6000</v>
      </c>
      <c r="AB34" s="9"/>
      <c r="AC34" s="11"/>
      <c r="AD34" s="68">
        <v>40350</v>
      </c>
      <c r="AE34" s="10"/>
      <c r="AF34" s="10"/>
      <c r="AG34" s="10"/>
      <c r="AH34" s="10"/>
      <c r="AI34" s="10"/>
      <c r="AJ34" s="21"/>
      <c r="AK34" s="20" t="s">
        <v>50</v>
      </c>
      <c r="AL34" s="10">
        <v>300000</v>
      </c>
      <c r="AM34" s="11"/>
      <c r="AN34" s="24"/>
      <c r="AO34" s="34"/>
      <c r="AQ34" s="9">
        <v>1000</v>
      </c>
      <c r="AR34" s="9">
        <v>3500</v>
      </c>
      <c r="AS34" s="9">
        <v>35000</v>
      </c>
      <c r="AT34" s="9">
        <v>3500</v>
      </c>
      <c r="AU34" s="9">
        <v>58000</v>
      </c>
      <c r="AV34" s="9">
        <v>15800</v>
      </c>
      <c r="AW34" s="9"/>
      <c r="AX34" s="11"/>
      <c r="AY34" s="68">
        <v>28450</v>
      </c>
      <c r="AZ34" s="68">
        <v>8000</v>
      </c>
      <c r="BA34" s="10"/>
      <c r="BB34" s="68">
        <v>13000</v>
      </c>
      <c r="BC34" s="68">
        <v>10500</v>
      </c>
      <c r="BD34" s="10"/>
      <c r="BE34" s="21"/>
      <c r="BF34" s="20"/>
      <c r="BG34" s="10"/>
      <c r="BH34" s="11"/>
      <c r="BI34" s="24"/>
      <c r="BJ34" s="34"/>
      <c r="BL34" s="9">
        <v>7000</v>
      </c>
      <c r="BM34" s="9">
        <v>2000</v>
      </c>
      <c r="BN34" s="9">
        <v>2000</v>
      </c>
      <c r="BO34" s="9">
        <v>11000</v>
      </c>
      <c r="BP34" s="9">
        <v>6000</v>
      </c>
      <c r="BQ34" s="9">
        <v>11500</v>
      </c>
      <c r="BR34" s="9"/>
      <c r="BS34" s="11"/>
      <c r="BT34" s="68">
        <v>5760</v>
      </c>
      <c r="BU34" s="68">
        <v>71750</v>
      </c>
      <c r="BV34" s="68">
        <v>19000</v>
      </c>
      <c r="BW34" s="78"/>
      <c r="BX34" s="68">
        <v>3500</v>
      </c>
      <c r="BY34" s="10"/>
      <c r="BZ34" s="10"/>
      <c r="CA34" s="21"/>
      <c r="CB34" s="20"/>
      <c r="CC34" s="10"/>
      <c r="CD34" s="11"/>
      <c r="CE34" s="24"/>
      <c r="CF34" s="34"/>
      <c r="CG34" s="24"/>
      <c r="CH34" s="9">
        <v>5000</v>
      </c>
      <c r="CI34" s="9">
        <v>3500</v>
      </c>
      <c r="CJ34" s="9">
        <v>3500</v>
      </c>
      <c r="CK34" s="9">
        <v>3700</v>
      </c>
      <c r="CL34" s="9">
        <v>7000</v>
      </c>
      <c r="CM34" s="9">
        <v>2000</v>
      </c>
      <c r="CN34" s="9"/>
      <c r="CO34" s="11"/>
      <c r="CP34" s="68">
        <v>16500</v>
      </c>
      <c r="CQ34" s="68">
        <v>12490</v>
      </c>
      <c r="CR34" s="68">
        <v>7500</v>
      </c>
      <c r="CS34" s="68">
        <v>3500</v>
      </c>
      <c r="CT34" s="10"/>
      <c r="CU34" s="68">
        <v>59000</v>
      </c>
      <c r="CV34" s="21"/>
      <c r="CW34" s="20" t="s">
        <v>50</v>
      </c>
      <c r="CX34" s="10">
        <v>300000</v>
      </c>
      <c r="CY34" s="11"/>
      <c r="CZ34" s="24"/>
      <c r="DA34" s="34"/>
    </row>
    <row r="35" spans="1:105">
      <c r="A35" s="9">
        <v>3500</v>
      </c>
      <c r="B35" s="9"/>
      <c r="C35" s="9"/>
      <c r="D35" s="9"/>
      <c r="E35" s="9"/>
      <c r="F35" s="9"/>
      <c r="G35" s="9"/>
      <c r="H35" s="11"/>
      <c r="I35" s="10"/>
      <c r="J35" s="10"/>
      <c r="K35" s="10"/>
      <c r="L35" s="68">
        <v>4000</v>
      </c>
      <c r="M35" s="10"/>
      <c r="N35" s="10"/>
      <c r="O35" s="21"/>
      <c r="P35" s="20"/>
      <c r="Q35" s="10"/>
      <c r="R35" s="11"/>
      <c r="S35" s="24"/>
      <c r="T35" s="24"/>
      <c r="U35" s="24"/>
      <c r="V35" s="9">
        <v>2000</v>
      </c>
      <c r="W35" s="9">
        <v>5000</v>
      </c>
      <c r="X35" s="9">
        <v>2000</v>
      </c>
      <c r="Y35" s="9">
        <v>7800</v>
      </c>
      <c r="Z35" s="9">
        <v>450</v>
      </c>
      <c r="AA35" s="9">
        <v>8500</v>
      </c>
      <c r="AB35" s="9"/>
      <c r="AC35" s="11"/>
      <c r="AD35" s="68">
        <v>4500</v>
      </c>
      <c r="AE35" s="10"/>
      <c r="AF35" s="10"/>
      <c r="AG35" s="10"/>
      <c r="AH35" s="10"/>
      <c r="AI35" s="10"/>
      <c r="AJ35" s="21"/>
      <c r="AK35" s="20"/>
      <c r="AL35" s="10"/>
      <c r="AM35" s="11"/>
      <c r="AN35" s="24"/>
      <c r="AO35" s="24"/>
      <c r="AQ35" s="9">
        <v>4000</v>
      </c>
      <c r="AR35" s="9">
        <v>3000</v>
      </c>
      <c r="AS35" s="9">
        <v>8200</v>
      </c>
      <c r="AT35" s="9">
        <v>4300</v>
      </c>
      <c r="AU35" s="9">
        <v>8000</v>
      </c>
      <c r="AV35" s="9">
        <v>4500</v>
      </c>
      <c r="AW35" s="9"/>
      <c r="AX35" s="11"/>
      <c r="AY35" s="68">
        <v>16000</v>
      </c>
      <c r="AZ35" s="68">
        <v>16500</v>
      </c>
      <c r="BA35" s="10"/>
      <c r="BB35" s="68">
        <v>5700</v>
      </c>
      <c r="BC35" s="68">
        <v>5000</v>
      </c>
      <c r="BD35" s="10"/>
      <c r="BE35" s="21"/>
      <c r="BF35" s="20"/>
      <c r="BG35" s="10"/>
      <c r="BH35" s="11"/>
      <c r="BI35" s="24"/>
      <c r="BJ35" s="24"/>
      <c r="BL35" s="9">
        <v>3000</v>
      </c>
      <c r="BM35" s="9">
        <v>6500</v>
      </c>
      <c r="BN35" s="9">
        <v>2000</v>
      </c>
      <c r="BO35" s="9">
        <v>15000</v>
      </c>
      <c r="BP35" s="9">
        <v>48000</v>
      </c>
      <c r="BQ35" s="9">
        <v>2000</v>
      </c>
      <c r="BR35" s="9"/>
      <c r="BS35" s="11"/>
      <c r="BT35" s="68">
        <v>20000</v>
      </c>
      <c r="BU35" s="68">
        <v>18100</v>
      </c>
      <c r="BV35" s="68">
        <v>17290</v>
      </c>
      <c r="BW35" s="78"/>
      <c r="BX35" s="68">
        <v>4000</v>
      </c>
      <c r="BY35" s="10"/>
      <c r="BZ35" s="10"/>
      <c r="CA35" s="21"/>
      <c r="CB35" s="20"/>
      <c r="CC35" s="10"/>
      <c r="CD35" s="11"/>
      <c r="CE35" s="24"/>
      <c r="CF35" s="24"/>
      <c r="CG35" s="24"/>
      <c r="CH35" s="9">
        <v>10000</v>
      </c>
      <c r="CI35" s="9">
        <v>3000</v>
      </c>
      <c r="CJ35" s="9">
        <v>10000</v>
      </c>
      <c r="CK35" s="9">
        <v>35000</v>
      </c>
      <c r="CL35" s="9">
        <v>5000</v>
      </c>
      <c r="CM35" s="9">
        <v>6500</v>
      </c>
      <c r="CN35" s="9"/>
      <c r="CO35" s="11"/>
      <c r="CP35" s="68">
        <v>1200</v>
      </c>
      <c r="CQ35" s="68">
        <v>1500</v>
      </c>
      <c r="CR35" s="68">
        <v>19500</v>
      </c>
      <c r="CS35" s="68">
        <v>6000</v>
      </c>
      <c r="CT35" s="10"/>
      <c r="CU35" s="68">
        <v>3500</v>
      </c>
      <c r="CV35" s="21"/>
      <c r="CW35" s="20"/>
      <c r="CX35" s="10"/>
      <c r="CY35" s="11"/>
      <c r="CZ35" s="24"/>
      <c r="DA35" s="24"/>
    </row>
    <row r="36" spans="14:77">
      <c r="N36" s="4"/>
      <c r="AZ36" s="35"/>
      <c r="BA36" s="35"/>
      <c r="BB36" s="35"/>
      <c r="BC36" s="36"/>
      <c r="BD36" s="35"/>
      <c r="BE36" s="35"/>
      <c r="BF36" s="35"/>
      <c r="BY36" s="4"/>
    </row>
  </sheetData>
  <mergeCells count="61">
    <mergeCell ref="I1:N1"/>
    <mergeCell ref="P1:Q1"/>
    <mergeCell ref="AD1:AI1"/>
    <mergeCell ref="AK1:AL1"/>
    <mergeCell ref="AY1:BD1"/>
    <mergeCell ref="BF1:BG1"/>
    <mergeCell ref="BT1:BZ1"/>
    <mergeCell ref="CB1:CC1"/>
    <mergeCell ref="CP1:CU1"/>
    <mergeCell ref="CW1:CX1"/>
    <mergeCell ref="S1:S2"/>
    <mergeCell ref="S3:S4"/>
    <mergeCell ref="S5:S6"/>
    <mergeCell ref="S7:S8"/>
    <mergeCell ref="T1:T2"/>
    <mergeCell ref="T3:T4"/>
    <mergeCell ref="T5:T6"/>
    <mergeCell ref="T7:T8"/>
    <mergeCell ref="AN1:AN2"/>
    <mergeCell ref="AN3:AN4"/>
    <mergeCell ref="AN5:AN6"/>
    <mergeCell ref="AN7:AN8"/>
    <mergeCell ref="AO1:AO2"/>
    <mergeCell ref="AO3:AO4"/>
    <mergeCell ref="AO5:AO6"/>
    <mergeCell ref="AO7:AO8"/>
    <mergeCell ref="BI1:BI2"/>
    <mergeCell ref="BI3:BI4"/>
    <mergeCell ref="BI5:BI6"/>
    <mergeCell ref="BI7:BI8"/>
    <mergeCell ref="BJ1:BJ2"/>
    <mergeCell ref="BJ3:BJ4"/>
    <mergeCell ref="BJ5:BJ6"/>
    <mergeCell ref="BJ7:BJ8"/>
    <mergeCell ref="CE1:CE2"/>
    <mergeCell ref="CE3:CE4"/>
    <mergeCell ref="CE5:CE6"/>
    <mergeCell ref="CE7:CE8"/>
    <mergeCell ref="CF1:CF2"/>
    <mergeCell ref="CF3:CF4"/>
    <mergeCell ref="CF5:CF6"/>
    <mergeCell ref="CF7:CF8"/>
    <mergeCell ref="CZ1:CZ2"/>
    <mergeCell ref="CZ3:CZ4"/>
    <mergeCell ref="CZ5:CZ6"/>
    <mergeCell ref="CZ7:CZ8"/>
    <mergeCell ref="DA1:DA2"/>
    <mergeCell ref="DA3:DA4"/>
    <mergeCell ref="DA5:DA6"/>
    <mergeCell ref="DA7:DA8"/>
    <mergeCell ref="DC1:DF2"/>
    <mergeCell ref="DC3:DD4"/>
    <mergeCell ref="DE3:DF4"/>
    <mergeCell ref="DC5:DD6"/>
    <mergeCell ref="DE5:DF6"/>
    <mergeCell ref="DC11:DD12"/>
    <mergeCell ref="DE11:DF12"/>
    <mergeCell ref="DC7:DD8"/>
    <mergeCell ref="DE7:DF8"/>
    <mergeCell ref="DC9:DD10"/>
    <mergeCell ref="DE9:DF10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E36"/>
  <sheetViews>
    <sheetView zoomScale="83" zoomScaleNormal="83" topLeftCell="CJ1" workbookViewId="0">
      <selection activeCell="CZ33" sqref="CZ33"/>
    </sheetView>
  </sheetViews>
  <sheetFormatPr defaultColWidth="11" defaultRowHeight="14.4"/>
  <cols>
    <col min="1" max="7" width="11.712962962963" customWidth="1"/>
    <col min="8" max="8" width="1.71296296296296" customWidth="1"/>
    <col min="9" max="14" width="11.712962962963" customWidth="1"/>
    <col min="15" max="15" width="1.71296296296296" customWidth="1"/>
    <col min="16" max="16" width="14.4259259259259" customWidth="1"/>
    <col min="17" max="17" width="13" customWidth="1"/>
    <col min="18" max="18" width="1.71296296296296" customWidth="1"/>
    <col min="19" max="19" width="11.712962962963" customWidth="1"/>
    <col min="20" max="20" width="16.287037037037" customWidth="1"/>
    <col min="22" max="22" width="12.4259259259259" customWidth="1"/>
    <col min="23" max="23" width="11.1388888888889" customWidth="1"/>
    <col min="24" max="25" width="11" customWidth="1"/>
    <col min="26" max="26" width="13" customWidth="1"/>
    <col min="27" max="27" width="13.1388888888889" customWidth="1"/>
    <col min="28" max="28" width="12.8518518518519" customWidth="1"/>
    <col min="29" max="29" width="1.71296296296296" customWidth="1"/>
    <col min="30" max="30" width="12" customWidth="1"/>
    <col min="31" max="32" width="10.8518518518519" customWidth="1"/>
    <col min="33" max="33" width="12" customWidth="1"/>
    <col min="34" max="34" width="13.712962962963" customWidth="1"/>
    <col min="35" max="35" width="12.1388888888889" customWidth="1"/>
    <col min="36" max="36" width="1.71296296296296" customWidth="1"/>
    <col min="37" max="37" width="12" customWidth="1"/>
    <col min="38" max="38" width="13.712962962963" customWidth="1"/>
    <col min="39" max="39" width="1.71296296296296" customWidth="1"/>
    <col min="40" max="40" width="15.1388888888889" customWidth="1"/>
    <col min="41" max="41" width="16.287037037037" customWidth="1"/>
    <col min="43" max="49" width="11.712962962963" customWidth="1"/>
    <col min="50" max="50" width="1.71296296296296" customWidth="1"/>
    <col min="51" max="56" width="11.712962962963" customWidth="1"/>
    <col min="57" max="57" width="1.71296296296296" customWidth="1"/>
    <col min="58" max="59" width="11.712962962963" customWidth="1"/>
    <col min="60" max="60" width="1.71296296296296" customWidth="1"/>
    <col min="61" max="61" width="11.712962962963" customWidth="1"/>
    <col min="62" max="62" width="16.287037037037" customWidth="1"/>
    <col min="64" max="70" width="11.712962962963" customWidth="1"/>
    <col min="71" max="71" width="1.71296296296296" customWidth="1"/>
    <col min="72" max="77" width="11.712962962963" customWidth="1"/>
    <col min="78" max="78" width="1.71296296296296" customWidth="1"/>
    <col min="79" max="79" width="11.712962962963" customWidth="1"/>
    <col min="80" max="80" width="13.712962962963" customWidth="1"/>
    <col min="81" max="81" width="1.71296296296296" customWidth="1"/>
    <col min="82" max="82" width="11.712962962963" customWidth="1"/>
    <col min="83" max="83" width="17.1388888888889" customWidth="1"/>
    <col min="85" max="91" width="11.712962962963" customWidth="1"/>
    <col min="92" max="92" width="1.71296296296296" customWidth="1"/>
    <col min="93" max="98" width="11.712962962963" customWidth="1"/>
    <col min="99" max="99" width="1.71296296296296" customWidth="1"/>
    <col min="100" max="101" width="11.712962962963" customWidth="1"/>
    <col min="102" max="102" width="1.71296296296296" customWidth="1"/>
    <col min="103" max="103" width="11.712962962963" customWidth="1"/>
    <col min="104" max="104" width="16.287037037037" customWidth="1"/>
    <col min="105" max="105" width="9.42592592592593" customWidth="1"/>
    <col min="106" max="106" width="8.28703703703704" customWidth="1"/>
    <col min="107" max="107" width="7.13888888888889" customWidth="1"/>
    <col min="108" max="108" width="6.85185185185185" customWidth="1"/>
    <col min="109" max="109" width="17.5740740740741" customWidth="1"/>
  </cols>
  <sheetData>
    <row r="1" ht="15" customHeight="1" spans="1:109">
      <c r="A1" s="10">
        <v>7500</v>
      </c>
      <c r="B1" s="10">
        <v>1500</v>
      </c>
      <c r="C1" s="10">
        <v>2000</v>
      </c>
      <c r="D1" s="10">
        <v>25000</v>
      </c>
      <c r="E1" s="10">
        <v>1000</v>
      </c>
      <c r="F1" s="10">
        <v>84000</v>
      </c>
      <c r="G1" s="10"/>
      <c r="H1" s="11"/>
      <c r="I1" s="13" t="s">
        <v>0</v>
      </c>
      <c r="J1" s="14"/>
      <c r="K1" s="14"/>
      <c r="L1" s="14"/>
      <c r="M1" s="14"/>
      <c r="N1" s="15"/>
      <c r="O1" s="11"/>
      <c r="P1" s="16" t="s">
        <v>1</v>
      </c>
      <c r="Q1" s="17"/>
      <c r="R1" s="11"/>
      <c r="S1" s="22" t="s">
        <v>2</v>
      </c>
      <c r="T1" s="23"/>
      <c r="U1" s="24"/>
      <c r="V1" s="10">
        <v>4000</v>
      </c>
      <c r="W1" s="10">
        <v>6000</v>
      </c>
      <c r="X1" s="10">
        <v>40000</v>
      </c>
      <c r="Y1" s="10">
        <v>6500</v>
      </c>
      <c r="Z1" s="10">
        <v>4500</v>
      </c>
      <c r="AA1" s="10">
        <v>3800</v>
      </c>
      <c r="AB1" s="10">
        <v>5000</v>
      </c>
      <c r="AC1" s="11"/>
      <c r="AD1" s="13" t="s">
        <v>0</v>
      </c>
      <c r="AE1" s="14"/>
      <c r="AF1" s="14"/>
      <c r="AG1" s="14"/>
      <c r="AH1" s="14"/>
      <c r="AI1" s="15"/>
      <c r="AJ1" s="11"/>
      <c r="AK1" s="16" t="s">
        <v>1</v>
      </c>
      <c r="AL1" s="17"/>
      <c r="AM1" s="11"/>
      <c r="AN1" s="22" t="s">
        <v>2</v>
      </c>
      <c r="AO1" s="23"/>
      <c r="AQ1" s="10">
        <v>8000</v>
      </c>
      <c r="AR1" s="10">
        <v>6350</v>
      </c>
      <c r="AS1" s="10">
        <v>2500</v>
      </c>
      <c r="AT1" s="10">
        <v>20000</v>
      </c>
      <c r="AU1" s="10">
        <v>30000</v>
      </c>
      <c r="AV1" s="10">
        <v>3000</v>
      </c>
      <c r="AW1" s="10"/>
      <c r="AX1" s="11"/>
      <c r="AY1" s="13" t="s">
        <v>0</v>
      </c>
      <c r="AZ1" s="14"/>
      <c r="BA1" s="14"/>
      <c r="BB1" s="14"/>
      <c r="BC1" s="14"/>
      <c r="BD1" s="15"/>
      <c r="BE1" s="11"/>
      <c r="BF1" s="16" t="s">
        <v>1</v>
      </c>
      <c r="BG1" s="17"/>
      <c r="BH1" s="11"/>
      <c r="BI1" s="22" t="s">
        <v>2</v>
      </c>
      <c r="BJ1" s="23"/>
      <c r="BL1" s="10">
        <v>2000</v>
      </c>
      <c r="BM1" s="10">
        <v>10000</v>
      </c>
      <c r="BN1" s="10">
        <v>10600</v>
      </c>
      <c r="BO1" s="10">
        <v>3000</v>
      </c>
      <c r="BP1" s="10">
        <v>5000</v>
      </c>
      <c r="BQ1" s="10">
        <v>70500</v>
      </c>
      <c r="BR1" s="10">
        <v>4500</v>
      </c>
      <c r="BS1" s="11"/>
      <c r="BT1" s="13" t="s">
        <v>0</v>
      </c>
      <c r="BU1" s="14"/>
      <c r="BV1" s="14"/>
      <c r="BW1" s="14"/>
      <c r="BX1" s="14"/>
      <c r="BY1" s="15"/>
      <c r="BZ1" s="11"/>
      <c r="CA1" s="16" t="s">
        <v>1</v>
      </c>
      <c r="CB1" s="17"/>
      <c r="CC1" s="11"/>
      <c r="CD1" s="22" t="s">
        <v>2</v>
      </c>
      <c r="CE1" s="23"/>
      <c r="CG1" s="10">
        <v>5000</v>
      </c>
      <c r="CH1" s="10">
        <v>6600</v>
      </c>
      <c r="CI1" s="10">
        <v>8000</v>
      </c>
      <c r="CJ1" s="10">
        <v>35000</v>
      </c>
      <c r="CK1" s="10">
        <v>6000</v>
      </c>
      <c r="CL1" s="10"/>
      <c r="CM1" s="10"/>
      <c r="CN1" s="11"/>
      <c r="CO1" s="13" t="s">
        <v>0</v>
      </c>
      <c r="CP1" s="14"/>
      <c r="CQ1" s="14"/>
      <c r="CR1" s="14"/>
      <c r="CS1" s="14"/>
      <c r="CT1" s="15"/>
      <c r="CU1" s="11"/>
      <c r="CV1" s="16" t="s">
        <v>1</v>
      </c>
      <c r="CW1" s="17"/>
      <c r="CX1" s="11"/>
      <c r="CY1" s="22" t="s">
        <v>2</v>
      </c>
      <c r="CZ1" s="23"/>
      <c r="DB1" s="37" t="s">
        <v>3</v>
      </c>
      <c r="DC1" s="45"/>
      <c r="DD1" s="45"/>
      <c r="DE1" s="46"/>
    </row>
    <row r="2" ht="15" customHeight="1" spans="1:109">
      <c r="A2" s="12">
        <v>2500</v>
      </c>
      <c r="B2" s="12">
        <v>3200</v>
      </c>
      <c r="C2" s="12">
        <v>4000</v>
      </c>
      <c r="D2" s="12">
        <v>8500</v>
      </c>
      <c r="E2" s="12">
        <v>2000</v>
      </c>
      <c r="F2" s="12">
        <v>700</v>
      </c>
      <c r="G2" s="12"/>
      <c r="H2" s="11"/>
      <c r="I2" s="68">
        <v>6000</v>
      </c>
      <c r="J2" s="68">
        <v>18000</v>
      </c>
      <c r="K2" s="10"/>
      <c r="L2" s="68">
        <v>3500</v>
      </c>
      <c r="M2" s="68">
        <v>32700</v>
      </c>
      <c r="N2" s="68">
        <v>444300</v>
      </c>
      <c r="O2" s="11"/>
      <c r="P2" s="20" t="s">
        <v>60</v>
      </c>
      <c r="Q2" s="10">
        <v>400000</v>
      </c>
      <c r="R2" s="11"/>
      <c r="S2" s="25"/>
      <c r="T2" s="26"/>
      <c r="U2" s="24"/>
      <c r="V2" s="12">
        <v>8000</v>
      </c>
      <c r="W2" s="12">
        <v>2500</v>
      </c>
      <c r="X2" s="12">
        <v>16500</v>
      </c>
      <c r="Y2" s="12">
        <v>11000</v>
      </c>
      <c r="Z2" s="12">
        <v>29600</v>
      </c>
      <c r="AA2" s="12">
        <v>2000</v>
      </c>
      <c r="AB2" s="12">
        <v>2500</v>
      </c>
      <c r="AC2" s="11"/>
      <c r="AD2" s="68">
        <v>20000</v>
      </c>
      <c r="AE2" s="68">
        <v>28960</v>
      </c>
      <c r="AF2" s="68">
        <v>2480</v>
      </c>
      <c r="AG2" s="68">
        <v>32500</v>
      </c>
      <c r="AH2" s="68">
        <v>8000</v>
      </c>
      <c r="AI2" s="68">
        <v>4000</v>
      </c>
      <c r="AJ2" s="11"/>
      <c r="AK2" s="20" t="s">
        <v>103</v>
      </c>
      <c r="AL2" s="10">
        <v>8400</v>
      </c>
      <c r="AM2" s="11"/>
      <c r="AN2" s="25"/>
      <c r="AO2" s="26"/>
      <c r="AQ2" s="12">
        <v>32000</v>
      </c>
      <c r="AR2" s="12">
        <v>2800</v>
      </c>
      <c r="AS2" s="12">
        <v>5300</v>
      </c>
      <c r="AT2" s="12">
        <v>24000</v>
      </c>
      <c r="AU2" s="12">
        <v>3500</v>
      </c>
      <c r="AV2" s="12">
        <v>14000</v>
      </c>
      <c r="AW2" s="12"/>
      <c r="AX2" s="11"/>
      <c r="AY2" s="68">
        <v>3360</v>
      </c>
      <c r="AZ2" s="68">
        <v>37950</v>
      </c>
      <c r="BA2" s="68">
        <v>38000</v>
      </c>
      <c r="BB2" s="68">
        <v>4200</v>
      </c>
      <c r="BC2" s="68">
        <v>1200</v>
      </c>
      <c r="BD2" s="10"/>
      <c r="BE2" s="11"/>
      <c r="BF2" s="20" t="s">
        <v>104</v>
      </c>
      <c r="BG2" s="10">
        <v>641090</v>
      </c>
      <c r="BH2" s="11"/>
      <c r="BI2" s="25"/>
      <c r="BJ2" s="26"/>
      <c r="BL2" s="12">
        <v>2000</v>
      </c>
      <c r="BM2" s="12">
        <v>2500</v>
      </c>
      <c r="BN2" s="12">
        <v>3000</v>
      </c>
      <c r="BO2" s="12">
        <v>1000</v>
      </c>
      <c r="BP2" s="12">
        <v>800</v>
      </c>
      <c r="BQ2" s="12">
        <v>9500</v>
      </c>
      <c r="BR2" s="12">
        <v>5800</v>
      </c>
      <c r="BS2" s="11"/>
      <c r="BT2" s="68">
        <v>2110</v>
      </c>
      <c r="BU2" s="68">
        <v>11530</v>
      </c>
      <c r="BV2" s="10"/>
      <c r="BW2" s="68">
        <v>2000</v>
      </c>
      <c r="BX2" s="68">
        <v>4000</v>
      </c>
      <c r="BY2" s="68">
        <v>2400</v>
      </c>
      <c r="BZ2" s="11"/>
      <c r="CA2" s="20" t="s">
        <v>4</v>
      </c>
      <c r="CB2" s="10">
        <v>135000</v>
      </c>
      <c r="CC2" s="11"/>
      <c r="CD2" s="25"/>
      <c r="CE2" s="26"/>
      <c r="CG2" s="12">
        <v>7500</v>
      </c>
      <c r="CH2" s="12">
        <v>22000</v>
      </c>
      <c r="CI2" s="12">
        <v>19500</v>
      </c>
      <c r="CJ2" s="12">
        <v>12500</v>
      </c>
      <c r="CK2" s="12">
        <v>3200</v>
      </c>
      <c r="CL2" s="12"/>
      <c r="CM2" s="12"/>
      <c r="CN2" s="11"/>
      <c r="CO2" s="68">
        <v>7850</v>
      </c>
      <c r="CP2" s="68">
        <v>1000</v>
      </c>
      <c r="CQ2" s="68">
        <v>20800</v>
      </c>
      <c r="CR2" s="68">
        <v>7000</v>
      </c>
      <c r="CS2" s="68">
        <v>1000</v>
      </c>
      <c r="CT2" s="10"/>
      <c r="CU2" s="11"/>
      <c r="CV2" s="20" t="s">
        <v>10</v>
      </c>
      <c r="CW2" s="10">
        <v>70600</v>
      </c>
      <c r="CX2" s="11"/>
      <c r="CY2" s="25"/>
      <c r="CZ2" s="26"/>
      <c r="DB2" s="38"/>
      <c r="DC2" s="47"/>
      <c r="DD2" s="47"/>
      <c r="DE2" s="48"/>
    </row>
    <row r="3" ht="15" customHeight="1" spans="1:109">
      <c r="A3" s="9">
        <v>5500</v>
      </c>
      <c r="B3" s="9">
        <v>1600</v>
      </c>
      <c r="C3" s="9">
        <v>5500</v>
      </c>
      <c r="D3" s="9">
        <v>12100</v>
      </c>
      <c r="E3" s="9">
        <v>4000</v>
      </c>
      <c r="F3" s="9">
        <v>17400</v>
      </c>
      <c r="G3" s="9"/>
      <c r="H3" s="11"/>
      <c r="I3" s="68">
        <v>10090</v>
      </c>
      <c r="J3" s="68">
        <v>18500</v>
      </c>
      <c r="K3" s="10"/>
      <c r="L3" s="68">
        <v>2000</v>
      </c>
      <c r="M3" s="68">
        <v>8000</v>
      </c>
      <c r="N3" s="68">
        <v>5500</v>
      </c>
      <c r="O3" s="19"/>
      <c r="P3" s="20" t="s">
        <v>18</v>
      </c>
      <c r="Q3" s="10">
        <v>713500</v>
      </c>
      <c r="R3" s="11">
        <v>1</v>
      </c>
      <c r="S3" s="27" t="s">
        <v>9</v>
      </c>
      <c r="T3" s="23">
        <f>SUM(A1:H35)</f>
        <v>1695430</v>
      </c>
      <c r="U3" s="24"/>
      <c r="V3" s="9">
        <v>16500</v>
      </c>
      <c r="W3" s="9">
        <v>5800</v>
      </c>
      <c r="X3" s="9">
        <v>3000</v>
      </c>
      <c r="Y3" s="9">
        <v>3500</v>
      </c>
      <c r="Z3" s="9">
        <v>5500</v>
      </c>
      <c r="AA3" s="9">
        <v>3500</v>
      </c>
      <c r="AB3" s="9">
        <v>1500</v>
      </c>
      <c r="AC3" s="11"/>
      <c r="AD3" s="68">
        <v>6000</v>
      </c>
      <c r="AE3" s="68">
        <v>1000</v>
      </c>
      <c r="AF3" s="68">
        <v>990</v>
      </c>
      <c r="AG3" s="68">
        <v>7300</v>
      </c>
      <c r="AH3" s="68">
        <v>9600</v>
      </c>
      <c r="AI3" s="68">
        <v>20000</v>
      </c>
      <c r="AJ3" s="19"/>
      <c r="AK3" s="20" t="s">
        <v>7</v>
      </c>
      <c r="AL3" s="10">
        <v>55200</v>
      </c>
      <c r="AM3" s="11">
        <v>1</v>
      </c>
      <c r="AN3" s="27" t="s">
        <v>9</v>
      </c>
      <c r="AO3" s="23">
        <f>SUM(V1:AC35)</f>
        <v>1818120</v>
      </c>
      <c r="AQ3" s="9">
        <v>2000</v>
      </c>
      <c r="AR3" s="9">
        <v>4500</v>
      </c>
      <c r="AS3" s="9">
        <v>4300</v>
      </c>
      <c r="AT3" s="9">
        <v>6500</v>
      </c>
      <c r="AU3" s="9">
        <v>6500</v>
      </c>
      <c r="AV3" s="9">
        <v>20000</v>
      </c>
      <c r="AW3" s="9"/>
      <c r="AX3" s="11"/>
      <c r="AY3" s="68">
        <v>48030</v>
      </c>
      <c r="AZ3" s="68">
        <v>13450</v>
      </c>
      <c r="BA3" s="68">
        <v>1600</v>
      </c>
      <c r="BB3" s="68">
        <v>39000</v>
      </c>
      <c r="BC3" s="68">
        <v>6500</v>
      </c>
      <c r="BD3" s="10"/>
      <c r="BE3" s="19"/>
      <c r="BF3" s="20" t="s">
        <v>56</v>
      </c>
      <c r="BG3" s="10">
        <v>380400</v>
      </c>
      <c r="BH3" s="11">
        <v>1</v>
      </c>
      <c r="BI3" s="27" t="s">
        <v>9</v>
      </c>
      <c r="BJ3" s="23">
        <f>SUM(AQ1:AX35)</f>
        <v>1544900</v>
      </c>
      <c r="BL3" s="9">
        <v>22000</v>
      </c>
      <c r="BM3" s="9">
        <v>5000</v>
      </c>
      <c r="BN3" s="9">
        <v>2000</v>
      </c>
      <c r="BO3" s="9">
        <v>1000</v>
      </c>
      <c r="BP3" s="9">
        <v>15300</v>
      </c>
      <c r="BQ3" s="9">
        <v>1000</v>
      </c>
      <c r="BR3" s="9">
        <v>5500</v>
      </c>
      <c r="BS3" s="11"/>
      <c r="BT3" s="68">
        <v>1440</v>
      </c>
      <c r="BU3" s="68">
        <v>3840</v>
      </c>
      <c r="BV3" s="10"/>
      <c r="BW3" s="68">
        <v>2000</v>
      </c>
      <c r="BX3" s="68">
        <v>5000</v>
      </c>
      <c r="BY3" s="68">
        <v>4500</v>
      </c>
      <c r="BZ3" s="19"/>
      <c r="CA3" s="20" t="s">
        <v>105</v>
      </c>
      <c r="CB3" s="10">
        <v>33620</v>
      </c>
      <c r="CC3" s="11">
        <v>1</v>
      </c>
      <c r="CD3" s="27" t="s">
        <v>9</v>
      </c>
      <c r="CE3" s="23">
        <f>SUM(BL1:BS35)</f>
        <v>1589700</v>
      </c>
      <c r="CG3" s="9">
        <v>3000</v>
      </c>
      <c r="CH3" s="9">
        <v>7000</v>
      </c>
      <c r="CI3" s="9">
        <v>5400</v>
      </c>
      <c r="CJ3" s="9">
        <v>40500</v>
      </c>
      <c r="CK3" s="9">
        <v>4500</v>
      </c>
      <c r="CL3" s="9"/>
      <c r="CM3" s="9"/>
      <c r="CN3" s="11"/>
      <c r="CO3" s="68">
        <v>22640</v>
      </c>
      <c r="CP3" s="68">
        <v>11530</v>
      </c>
      <c r="CQ3" s="68">
        <v>2670</v>
      </c>
      <c r="CR3" s="68">
        <v>1200</v>
      </c>
      <c r="CS3" s="68">
        <v>2000</v>
      </c>
      <c r="CT3" s="10"/>
      <c r="CU3" s="19"/>
      <c r="CV3" s="20" t="s">
        <v>86</v>
      </c>
      <c r="CW3" s="10">
        <v>100000</v>
      </c>
      <c r="CX3" s="11">
        <v>1</v>
      </c>
      <c r="CY3" s="27" t="s">
        <v>9</v>
      </c>
      <c r="CZ3" s="23">
        <f>SUM(CG1:CN35)</f>
        <v>1485700</v>
      </c>
      <c r="DB3" s="39" t="s">
        <v>9</v>
      </c>
      <c r="DC3" s="49"/>
      <c r="DD3" s="50">
        <f>SUM(T3,AO3,BJ3,CE3,CZ3)</f>
        <v>8133850</v>
      </c>
      <c r="DE3" s="51"/>
    </row>
    <row r="4" ht="15" customHeight="1" spans="1:109">
      <c r="A4" s="9">
        <v>3000</v>
      </c>
      <c r="B4" s="9">
        <v>3000</v>
      </c>
      <c r="C4" s="9">
        <v>14000</v>
      </c>
      <c r="D4" s="9">
        <v>5000</v>
      </c>
      <c r="E4" s="9">
        <v>500</v>
      </c>
      <c r="F4" s="9">
        <v>5000</v>
      </c>
      <c r="G4" s="9"/>
      <c r="H4" s="11"/>
      <c r="I4" s="68">
        <v>26740</v>
      </c>
      <c r="J4" s="68">
        <v>7100</v>
      </c>
      <c r="K4" s="10"/>
      <c r="L4" s="68">
        <v>3500</v>
      </c>
      <c r="M4" s="68">
        <v>6000</v>
      </c>
      <c r="N4" s="68">
        <v>1500</v>
      </c>
      <c r="O4" s="19"/>
      <c r="P4" s="20" t="s">
        <v>49</v>
      </c>
      <c r="Q4" s="10">
        <v>197800</v>
      </c>
      <c r="R4" s="11"/>
      <c r="S4" s="28"/>
      <c r="T4" s="26"/>
      <c r="U4" s="24"/>
      <c r="V4" s="9">
        <v>3500</v>
      </c>
      <c r="W4" s="9">
        <v>3500</v>
      </c>
      <c r="X4" s="9">
        <v>12500</v>
      </c>
      <c r="Y4" s="9">
        <v>2750</v>
      </c>
      <c r="Z4" s="9">
        <v>1200</v>
      </c>
      <c r="AA4" s="9">
        <v>8500</v>
      </c>
      <c r="AB4" s="9">
        <v>2500</v>
      </c>
      <c r="AC4" s="11"/>
      <c r="AD4" s="68">
        <v>10000</v>
      </c>
      <c r="AE4" s="68">
        <v>34000</v>
      </c>
      <c r="AF4" s="68">
        <v>6210</v>
      </c>
      <c r="AG4" s="68">
        <v>57300</v>
      </c>
      <c r="AH4" s="68">
        <v>8500</v>
      </c>
      <c r="AI4" s="68">
        <v>22000</v>
      </c>
      <c r="AJ4" s="19"/>
      <c r="AK4" s="20" t="s">
        <v>11</v>
      </c>
      <c r="AL4" s="10">
        <v>139580</v>
      </c>
      <c r="AM4" s="11"/>
      <c r="AN4" s="28"/>
      <c r="AO4" s="26"/>
      <c r="AQ4" s="9">
        <v>33800</v>
      </c>
      <c r="AR4" s="9">
        <v>2500</v>
      </c>
      <c r="AS4" s="9">
        <v>2800</v>
      </c>
      <c r="AT4" s="9">
        <v>9000</v>
      </c>
      <c r="AU4" s="9">
        <v>6500</v>
      </c>
      <c r="AV4" s="9">
        <v>5000</v>
      </c>
      <c r="AW4" s="9"/>
      <c r="AX4" s="11"/>
      <c r="AY4" s="68">
        <v>24500</v>
      </c>
      <c r="AZ4" s="68">
        <v>7200</v>
      </c>
      <c r="BA4" s="68">
        <v>2500</v>
      </c>
      <c r="BB4" s="68">
        <v>13000</v>
      </c>
      <c r="BC4" s="68">
        <v>5000</v>
      </c>
      <c r="BD4" s="10"/>
      <c r="BE4" s="19"/>
      <c r="BF4" s="20" t="s">
        <v>5</v>
      </c>
      <c r="BG4" s="10">
        <v>288000</v>
      </c>
      <c r="BH4" s="11"/>
      <c r="BI4" s="28"/>
      <c r="BJ4" s="26"/>
      <c r="BL4" s="9">
        <v>6000</v>
      </c>
      <c r="BM4" s="9">
        <v>5000</v>
      </c>
      <c r="BN4" s="9">
        <v>550</v>
      </c>
      <c r="BO4" s="9">
        <v>3000</v>
      </c>
      <c r="BP4" s="9">
        <v>8000</v>
      </c>
      <c r="BQ4" s="9">
        <v>5500</v>
      </c>
      <c r="BR4" s="9">
        <v>3000</v>
      </c>
      <c r="BS4" s="11"/>
      <c r="BT4" s="68">
        <v>4320</v>
      </c>
      <c r="BU4" s="68">
        <v>7000</v>
      </c>
      <c r="BV4" s="10"/>
      <c r="BW4" s="68">
        <v>8500</v>
      </c>
      <c r="BX4" s="68">
        <v>7500</v>
      </c>
      <c r="BY4" s="68">
        <v>7000</v>
      </c>
      <c r="BZ4" s="19"/>
      <c r="CA4" s="20" t="s">
        <v>27</v>
      </c>
      <c r="CB4" s="10">
        <v>202300</v>
      </c>
      <c r="CC4" s="11"/>
      <c r="CD4" s="28"/>
      <c r="CE4" s="26"/>
      <c r="CG4" s="9">
        <v>7000</v>
      </c>
      <c r="CH4" s="9">
        <v>1000</v>
      </c>
      <c r="CI4" s="9">
        <v>12000</v>
      </c>
      <c r="CJ4" s="9">
        <v>7000</v>
      </c>
      <c r="CK4" s="9">
        <v>10000</v>
      </c>
      <c r="CL4" s="9"/>
      <c r="CM4" s="9"/>
      <c r="CN4" s="11"/>
      <c r="CO4" s="68">
        <v>3500</v>
      </c>
      <c r="CP4" s="68">
        <v>5080</v>
      </c>
      <c r="CQ4" s="10"/>
      <c r="CR4" s="68">
        <v>4500</v>
      </c>
      <c r="CS4" s="68">
        <v>17000</v>
      </c>
      <c r="CT4" s="10"/>
      <c r="CU4" s="19"/>
      <c r="CV4" s="20" t="s">
        <v>18</v>
      </c>
      <c r="CW4" s="10">
        <v>478900</v>
      </c>
      <c r="CX4" s="11"/>
      <c r="CY4" s="28"/>
      <c r="CZ4" s="26"/>
      <c r="DB4" s="40"/>
      <c r="DC4" s="52"/>
      <c r="DD4" s="53"/>
      <c r="DE4" s="54"/>
    </row>
    <row r="5" ht="15" customHeight="1" spans="1:109">
      <c r="A5" s="9">
        <v>10000</v>
      </c>
      <c r="B5" s="9">
        <v>12000</v>
      </c>
      <c r="C5" s="9">
        <v>300</v>
      </c>
      <c r="D5" s="9">
        <v>7500</v>
      </c>
      <c r="E5" s="9">
        <v>5500</v>
      </c>
      <c r="F5" s="9">
        <v>2500</v>
      </c>
      <c r="G5" s="9"/>
      <c r="H5" s="11"/>
      <c r="I5" s="68">
        <v>10500</v>
      </c>
      <c r="J5" s="68">
        <v>11000</v>
      </c>
      <c r="K5" s="10"/>
      <c r="L5" s="68">
        <v>3500</v>
      </c>
      <c r="M5" s="68">
        <v>3000</v>
      </c>
      <c r="N5" s="68">
        <v>2500</v>
      </c>
      <c r="O5" s="19"/>
      <c r="P5" s="20" t="s">
        <v>91</v>
      </c>
      <c r="Q5" s="10">
        <v>257120</v>
      </c>
      <c r="R5" s="11"/>
      <c r="S5" s="27" t="s">
        <v>17</v>
      </c>
      <c r="T5" s="23">
        <f>SUM(I2:N35)</f>
        <v>2260260</v>
      </c>
      <c r="U5" s="24"/>
      <c r="V5" s="9">
        <v>2500</v>
      </c>
      <c r="W5" s="9">
        <v>2000</v>
      </c>
      <c r="X5" s="9">
        <v>500</v>
      </c>
      <c r="Y5" s="9">
        <v>5100</v>
      </c>
      <c r="Z5" s="9">
        <v>69000</v>
      </c>
      <c r="AA5" s="9">
        <v>3500</v>
      </c>
      <c r="AB5" s="9">
        <v>3800</v>
      </c>
      <c r="AC5" s="11"/>
      <c r="AD5" s="68">
        <v>27100</v>
      </c>
      <c r="AE5" s="68">
        <v>12000</v>
      </c>
      <c r="AF5" s="68">
        <v>3000</v>
      </c>
      <c r="AG5" s="68">
        <v>10500</v>
      </c>
      <c r="AH5" s="68">
        <v>4500</v>
      </c>
      <c r="AI5" s="68">
        <v>3500</v>
      </c>
      <c r="AJ5" s="19"/>
      <c r="AK5" s="20" t="s">
        <v>106</v>
      </c>
      <c r="AL5" s="10">
        <v>40720</v>
      </c>
      <c r="AM5" s="11"/>
      <c r="AN5" s="27" t="s">
        <v>17</v>
      </c>
      <c r="AO5" s="23">
        <f>SUM(AD2:AI35)</f>
        <v>2492110</v>
      </c>
      <c r="AQ5" s="9">
        <v>4000</v>
      </c>
      <c r="AR5" s="9">
        <v>17200</v>
      </c>
      <c r="AS5" s="9">
        <v>6600</v>
      </c>
      <c r="AT5" s="9">
        <v>1500</v>
      </c>
      <c r="AU5" s="9">
        <v>5000</v>
      </c>
      <c r="AV5" s="9">
        <v>1500</v>
      </c>
      <c r="AW5" s="9"/>
      <c r="AX5" s="11"/>
      <c r="AY5" s="68">
        <v>2500</v>
      </c>
      <c r="AZ5" s="68">
        <v>4800</v>
      </c>
      <c r="BA5" s="68">
        <v>8000</v>
      </c>
      <c r="BB5" s="68">
        <v>45000</v>
      </c>
      <c r="BC5" s="68">
        <v>25000</v>
      </c>
      <c r="BD5" s="10"/>
      <c r="BE5" s="19"/>
      <c r="BF5" s="20" t="s">
        <v>22</v>
      </c>
      <c r="BG5" s="10">
        <v>506900</v>
      </c>
      <c r="BH5" s="11"/>
      <c r="BI5" s="27" t="s">
        <v>17</v>
      </c>
      <c r="BJ5" s="23">
        <f>SUM(AY2:BD35)</f>
        <v>2330095</v>
      </c>
      <c r="BL5" s="9">
        <v>9700</v>
      </c>
      <c r="BM5" s="9">
        <v>1500</v>
      </c>
      <c r="BN5" s="9">
        <v>1000</v>
      </c>
      <c r="BO5" s="9">
        <v>500</v>
      </c>
      <c r="BP5" s="9">
        <v>2500</v>
      </c>
      <c r="BQ5" s="9">
        <v>4200</v>
      </c>
      <c r="BR5" s="9">
        <v>7000</v>
      </c>
      <c r="BS5" s="11"/>
      <c r="BT5" s="68">
        <v>1920</v>
      </c>
      <c r="BU5" s="68">
        <v>21620</v>
      </c>
      <c r="BV5" s="10"/>
      <c r="BW5" s="68">
        <v>9400</v>
      </c>
      <c r="BX5" s="68">
        <v>17000</v>
      </c>
      <c r="BY5" s="68">
        <v>19500</v>
      </c>
      <c r="BZ5" s="19"/>
      <c r="CA5" s="20" t="s">
        <v>107</v>
      </c>
      <c r="CB5" s="10">
        <v>33000</v>
      </c>
      <c r="CC5" s="11"/>
      <c r="CD5" s="27" t="s">
        <v>17</v>
      </c>
      <c r="CE5" s="23">
        <f>SUM(BT2:BY35)</f>
        <v>1857410</v>
      </c>
      <c r="CG5" s="9">
        <v>9500</v>
      </c>
      <c r="CH5" s="9">
        <v>10000</v>
      </c>
      <c r="CI5" s="9">
        <v>3500</v>
      </c>
      <c r="CJ5" s="9">
        <v>5000</v>
      </c>
      <c r="CK5" s="9">
        <v>2000</v>
      </c>
      <c r="CL5" s="9"/>
      <c r="CM5" s="9"/>
      <c r="CN5" s="11"/>
      <c r="CO5" s="68">
        <v>7500</v>
      </c>
      <c r="CP5" s="68">
        <v>6650</v>
      </c>
      <c r="CQ5" s="10"/>
      <c r="CR5" s="68">
        <v>1800</v>
      </c>
      <c r="CS5" s="68">
        <v>3500</v>
      </c>
      <c r="CT5" s="10"/>
      <c r="CU5" s="19"/>
      <c r="CV5" s="20" t="s">
        <v>8</v>
      </c>
      <c r="CW5" s="10">
        <v>201580</v>
      </c>
      <c r="CX5" s="11"/>
      <c r="CY5" s="27" t="s">
        <v>17</v>
      </c>
      <c r="CZ5" s="23">
        <f>SUM(CO2:CT35)</f>
        <v>1595420</v>
      </c>
      <c r="DB5" s="39" t="s">
        <v>17</v>
      </c>
      <c r="DC5" s="49"/>
      <c r="DD5" s="50">
        <f>SUM(T5,AO5,BJ5,CE5,CZ5)</f>
        <v>10535295</v>
      </c>
      <c r="DE5" s="51"/>
    </row>
    <row r="6" ht="15" customHeight="1" spans="1:109">
      <c r="A6" s="9">
        <v>2800</v>
      </c>
      <c r="B6" s="9">
        <v>10000</v>
      </c>
      <c r="C6" s="9">
        <v>72200</v>
      </c>
      <c r="D6" s="9">
        <v>30000</v>
      </c>
      <c r="E6" s="9">
        <v>4500</v>
      </c>
      <c r="F6" s="9">
        <v>24000</v>
      </c>
      <c r="G6" s="9"/>
      <c r="H6" s="11"/>
      <c r="I6" s="68">
        <v>11530</v>
      </c>
      <c r="J6" s="68">
        <v>2000</v>
      </c>
      <c r="K6" s="10"/>
      <c r="L6" s="68">
        <v>4000</v>
      </c>
      <c r="M6" s="68">
        <v>11500</v>
      </c>
      <c r="N6" s="68">
        <v>22500</v>
      </c>
      <c r="O6" s="19"/>
      <c r="P6" s="20" t="s">
        <v>108</v>
      </c>
      <c r="Q6" s="10">
        <v>200000</v>
      </c>
      <c r="R6" s="11"/>
      <c r="S6" s="28"/>
      <c r="T6" s="26"/>
      <c r="U6" s="24"/>
      <c r="V6" s="9">
        <v>1600</v>
      </c>
      <c r="W6" s="9">
        <v>3800</v>
      </c>
      <c r="X6" s="9">
        <v>4200</v>
      </c>
      <c r="Y6" s="9">
        <v>13500</v>
      </c>
      <c r="Z6" s="9">
        <v>11900</v>
      </c>
      <c r="AA6" s="9">
        <v>5770</v>
      </c>
      <c r="AB6" s="9">
        <v>1500</v>
      </c>
      <c r="AC6" s="11"/>
      <c r="AD6" s="68">
        <v>2400</v>
      </c>
      <c r="AE6" s="68">
        <v>12100</v>
      </c>
      <c r="AF6" s="68">
        <v>37600</v>
      </c>
      <c r="AG6" s="68">
        <v>1200</v>
      </c>
      <c r="AH6" s="68">
        <v>4000</v>
      </c>
      <c r="AI6" s="68">
        <v>32000</v>
      </c>
      <c r="AJ6" s="19"/>
      <c r="AK6" s="20" t="s">
        <v>5</v>
      </c>
      <c r="AL6" s="10">
        <v>291000</v>
      </c>
      <c r="AM6" s="11"/>
      <c r="AN6" s="28"/>
      <c r="AO6" s="26"/>
      <c r="AQ6" s="9">
        <v>10000</v>
      </c>
      <c r="AR6" s="9">
        <v>5000</v>
      </c>
      <c r="AS6" s="9">
        <v>2500</v>
      </c>
      <c r="AT6" s="9">
        <v>2000</v>
      </c>
      <c r="AU6" s="9">
        <v>3500</v>
      </c>
      <c r="AV6" s="9">
        <v>4000</v>
      </c>
      <c r="AW6" s="9"/>
      <c r="AX6" s="11"/>
      <c r="AY6" s="68">
        <v>58120</v>
      </c>
      <c r="AZ6" s="68">
        <v>13000</v>
      </c>
      <c r="BA6" s="68">
        <v>5500</v>
      </c>
      <c r="BB6" s="68">
        <v>6000</v>
      </c>
      <c r="BC6" s="68">
        <v>7700</v>
      </c>
      <c r="BD6" s="10"/>
      <c r="BE6" s="19"/>
      <c r="BF6" s="20" t="s">
        <v>109</v>
      </c>
      <c r="BG6" s="10">
        <v>193190</v>
      </c>
      <c r="BH6" s="11"/>
      <c r="BI6" s="28"/>
      <c r="BJ6" s="26"/>
      <c r="BL6" s="9">
        <v>55000</v>
      </c>
      <c r="BM6" s="9">
        <v>2000</v>
      </c>
      <c r="BN6" s="9">
        <v>3500</v>
      </c>
      <c r="BO6" s="9">
        <v>2300</v>
      </c>
      <c r="BP6" s="9">
        <v>55000</v>
      </c>
      <c r="BQ6" s="9">
        <v>1000</v>
      </c>
      <c r="BR6" s="9">
        <v>6000</v>
      </c>
      <c r="BS6" s="11"/>
      <c r="BT6" s="68">
        <v>3400</v>
      </c>
      <c r="BU6" s="68">
        <v>10000</v>
      </c>
      <c r="BV6" s="10"/>
      <c r="BW6" s="68">
        <v>7000</v>
      </c>
      <c r="BX6" s="68">
        <v>12800</v>
      </c>
      <c r="BY6" s="68">
        <v>20000</v>
      </c>
      <c r="BZ6" s="19"/>
      <c r="CA6" s="20" t="s">
        <v>65</v>
      </c>
      <c r="CB6" s="10">
        <v>42220</v>
      </c>
      <c r="CC6" s="11"/>
      <c r="CD6" s="28"/>
      <c r="CE6" s="26"/>
      <c r="CG6" s="9">
        <v>600</v>
      </c>
      <c r="CH6" s="9">
        <v>40000</v>
      </c>
      <c r="CI6" s="9">
        <v>3500</v>
      </c>
      <c r="CJ6" s="9">
        <v>25500</v>
      </c>
      <c r="CK6" s="9">
        <v>8500</v>
      </c>
      <c r="CL6" s="9"/>
      <c r="CM6" s="9"/>
      <c r="CN6" s="11"/>
      <c r="CO6" s="68">
        <v>15000</v>
      </c>
      <c r="CP6" s="68">
        <v>34000</v>
      </c>
      <c r="CQ6" s="10"/>
      <c r="CR6" s="68">
        <v>7500</v>
      </c>
      <c r="CS6" s="68">
        <v>2000</v>
      </c>
      <c r="CT6" s="10"/>
      <c r="CU6" s="19"/>
      <c r="CV6" s="20" t="s">
        <v>58</v>
      </c>
      <c r="CW6" s="10">
        <v>97100</v>
      </c>
      <c r="CX6" s="11"/>
      <c r="CY6" s="28"/>
      <c r="CZ6" s="26"/>
      <c r="DB6" s="40"/>
      <c r="DC6" s="52"/>
      <c r="DD6" s="53"/>
      <c r="DE6" s="54"/>
    </row>
    <row r="7" ht="15" customHeight="1" spans="1:109">
      <c r="A7" s="9">
        <v>27480</v>
      </c>
      <c r="B7" s="9">
        <v>5000</v>
      </c>
      <c r="C7" s="9">
        <v>4000</v>
      </c>
      <c r="D7" s="9">
        <v>19300</v>
      </c>
      <c r="E7" s="9">
        <v>13000</v>
      </c>
      <c r="F7" s="9">
        <v>8000</v>
      </c>
      <c r="G7" s="9"/>
      <c r="H7" s="11"/>
      <c r="I7" s="68">
        <v>24000</v>
      </c>
      <c r="J7" s="68">
        <v>11180</v>
      </c>
      <c r="K7" s="10"/>
      <c r="L7" s="68">
        <v>14500</v>
      </c>
      <c r="M7" s="68">
        <v>5000</v>
      </c>
      <c r="N7" s="68">
        <v>41600</v>
      </c>
      <c r="O7" s="19"/>
      <c r="P7" s="20" t="s">
        <v>110</v>
      </c>
      <c r="Q7" s="10">
        <v>90000</v>
      </c>
      <c r="R7" s="11"/>
      <c r="S7" s="27" t="s">
        <v>1</v>
      </c>
      <c r="T7" s="23">
        <f>SUM(Q2:Q35)</f>
        <v>2770140</v>
      </c>
      <c r="U7" s="24"/>
      <c r="V7" s="9">
        <v>11600</v>
      </c>
      <c r="W7" s="9">
        <v>3000</v>
      </c>
      <c r="X7" s="9">
        <v>4900</v>
      </c>
      <c r="Y7" s="9">
        <v>1400</v>
      </c>
      <c r="Z7" s="9">
        <v>1000</v>
      </c>
      <c r="AA7" s="9">
        <v>10100</v>
      </c>
      <c r="AB7" s="9">
        <v>8500</v>
      </c>
      <c r="AC7" s="11"/>
      <c r="AD7" s="68">
        <v>22400</v>
      </c>
      <c r="AE7" s="68">
        <v>12500</v>
      </c>
      <c r="AF7" s="68">
        <v>720</v>
      </c>
      <c r="AG7" s="68">
        <v>6000</v>
      </c>
      <c r="AH7" s="68">
        <v>9500</v>
      </c>
      <c r="AI7" s="68">
        <v>8200</v>
      </c>
      <c r="AJ7" s="19"/>
      <c r="AK7" s="20" t="s">
        <v>18</v>
      </c>
      <c r="AL7" s="10">
        <v>795400</v>
      </c>
      <c r="AM7" s="11"/>
      <c r="AN7" s="27" t="s">
        <v>1</v>
      </c>
      <c r="AO7" s="23">
        <f>SUM(AL2:AL35)</f>
        <v>3940000</v>
      </c>
      <c r="AQ7" s="9">
        <v>3000</v>
      </c>
      <c r="AR7" s="9">
        <v>3500</v>
      </c>
      <c r="AS7" s="9">
        <v>3000</v>
      </c>
      <c r="AT7" s="9">
        <v>800</v>
      </c>
      <c r="AU7" s="9">
        <v>4500</v>
      </c>
      <c r="AV7" s="9">
        <v>11000</v>
      </c>
      <c r="AW7" s="9"/>
      <c r="AX7" s="11"/>
      <c r="AY7" s="68">
        <v>18290</v>
      </c>
      <c r="AZ7" s="68">
        <v>32000</v>
      </c>
      <c r="BA7" s="68">
        <v>2300</v>
      </c>
      <c r="BB7" s="68">
        <v>32000</v>
      </c>
      <c r="BC7" s="68">
        <v>12100</v>
      </c>
      <c r="BD7" s="10"/>
      <c r="BE7" s="19"/>
      <c r="BF7" s="20" t="s">
        <v>58</v>
      </c>
      <c r="BG7" s="10">
        <v>47000</v>
      </c>
      <c r="BH7" s="11"/>
      <c r="BI7" s="27" t="s">
        <v>1</v>
      </c>
      <c r="BJ7" s="23">
        <f>SUM(BG2:BG35)</f>
        <v>3895890</v>
      </c>
      <c r="BL7" s="9">
        <v>5500</v>
      </c>
      <c r="BM7" s="9">
        <v>600</v>
      </c>
      <c r="BN7" s="9">
        <v>4500</v>
      </c>
      <c r="BO7" s="9">
        <v>3000</v>
      </c>
      <c r="BP7" s="9">
        <v>2400</v>
      </c>
      <c r="BQ7" s="9">
        <v>10000</v>
      </c>
      <c r="BR7" s="9">
        <v>18000</v>
      </c>
      <c r="BS7" s="11"/>
      <c r="BT7" s="68">
        <v>5700</v>
      </c>
      <c r="BU7" s="68">
        <v>6000</v>
      </c>
      <c r="BV7" s="10"/>
      <c r="BW7" s="68">
        <v>71000</v>
      </c>
      <c r="BX7" s="68">
        <v>6500</v>
      </c>
      <c r="BY7" s="68">
        <v>6500</v>
      </c>
      <c r="BZ7" s="19"/>
      <c r="CA7" s="20" t="s">
        <v>38</v>
      </c>
      <c r="CB7" s="10">
        <v>60000</v>
      </c>
      <c r="CC7" s="11"/>
      <c r="CD7" s="27" t="s">
        <v>1</v>
      </c>
      <c r="CE7" s="23">
        <f>SUM(CB2:CB35)</f>
        <v>5964944</v>
      </c>
      <c r="CG7" s="9">
        <v>7500</v>
      </c>
      <c r="CH7" s="9">
        <v>11500</v>
      </c>
      <c r="CI7" s="9">
        <v>4000</v>
      </c>
      <c r="CJ7" s="9">
        <v>4000</v>
      </c>
      <c r="CK7" s="9">
        <v>4000</v>
      </c>
      <c r="CL7" s="9"/>
      <c r="CM7" s="9"/>
      <c r="CN7" s="11"/>
      <c r="CO7" s="68">
        <v>20000</v>
      </c>
      <c r="CP7" s="68">
        <v>35000</v>
      </c>
      <c r="CQ7" s="10"/>
      <c r="CR7" s="68">
        <v>34500</v>
      </c>
      <c r="CS7" s="68">
        <v>12250</v>
      </c>
      <c r="CT7" s="10"/>
      <c r="CU7" s="19"/>
      <c r="CV7" s="20" t="s">
        <v>37</v>
      </c>
      <c r="CW7" s="10">
        <v>86000</v>
      </c>
      <c r="CX7" s="11"/>
      <c r="CY7" s="27" t="s">
        <v>1</v>
      </c>
      <c r="CZ7" s="23">
        <f>SUM(CW2:CW35)</f>
        <v>1929800</v>
      </c>
      <c r="DB7" s="39" t="s">
        <v>1</v>
      </c>
      <c r="DC7" s="49"/>
      <c r="DD7" s="50">
        <f>SUM(T7,AO7,BJ7,CE7,CZ7)</f>
        <v>18500774</v>
      </c>
      <c r="DE7" s="51"/>
    </row>
    <row r="8" ht="15" customHeight="1" spans="1:109">
      <c r="A8" s="9">
        <v>2800</v>
      </c>
      <c r="B8" s="9">
        <v>1500</v>
      </c>
      <c r="C8" s="9">
        <v>2500</v>
      </c>
      <c r="D8" s="9">
        <v>18300</v>
      </c>
      <c r="E8" s="9">
        <v>3000</v>
      </c>
      <c r="F8" s="9">
        <v>4500</v>
      </c>
      <c r="G8" s="9"/>
      <c r="H8" s="11"/>
      <c r="I8" s="68">
        <v>300</v>
      </c>
      <c r="J8" s="68">
        <v>14500</v>
      </c>
      <c r="K8" s="10"/>
      <c r="L8" s="68">
        <v>10000</v>
      </c>
      <c r="M8" s="68">
        <v>5000</v>
      </c>
      <c r="N8" s="68">
        <v>7000</v>
      </c>
      <c r="O8" s="19"/>
      <c r="P8" s="20" t="s">
        <v>111</v>
      </c>
      <c r="Q8" s="10">
        <v>186620</v>
      </c>
      <c r="R8" s="11"/>
      <c r="S8" s="28"/>
      <c r="T8" s="26"/>
      <c r="U8" s="24"/>
      <c r="V8" s="9">
        <v>4000</v>
      </c>
      <c r="W8" s="9">
        <v>4000</v>
      </c>
      <c r="X8" s="9">
        <v>10600</v>
      </c>
      <c r="Y8" s="9">
        <v>13500</v>
      </c>
      <c r="Z8" s="9">
        <v>20000</v>
      </c>
      <c r="AA8" s="9">
        <v>20000</v>
      </c>
      <c r="AB8" s="9">
        <v>1500</v>
      </c>
      <c r="AC8" s="11"/>
      <c r="AD8" s="68">
        <v>47550</v>
      </c>
      <c r="AE8" s="68">
        <v>1920</v>
      </c>
      <c r="AF8" s="68">
        <v>2500</v>
      </c>
      <c r="AG8" s="68">
        <v>10000</v>
      </c>
      <c r="AH8" s="68">
        <v>7500</v>
      </c>
      <c r="AI8" s="68">
        <v>3800</v>
      </c>
      <c r="AJ8" s="19"/>
      <c r="AK8" s="20" t="s">
        <v>112</v>
      </c>
      <c r="AL8" s="10">
        <v>240000</v>
      </c>
      <c r="AM8" s="11"/>
      <c r="AN8" s="28"/>
      <c r="AO8" s="26"/>
      <c r="AQ8" s="9">
        <v>500</v>
      </c>
      <c r="AR8" s="9">
        <v>3000</v>
      </c>
      <c r="AS8" s="9">
        <v>9600</v>
      </c>
      <c r="AT8" s="9">
        <v>3500</v>
      </c>
      <c r="AU8" s="9">
        <v>8000</v>
      </c>
      <c r="AV8" s="9">
        <v>7500</v>
      </c>
      <c r="AW8" s="9"/>
      <c r="AX8" s="11"/>
      <c r="AY8" s="68">
        <v>3000</v>
      </c>
      <c r="AZ8" s="68">
        <v>35000</v>
      </c>
      <c r="BA8" s="68">
        <v>2000</v>
      </c>
      <c r="BB8" s="68">
        <v>900</v>
      </c>
      <c r="BC8" s="68">
        <v>5000</v>
      </c>
      <c r="BD8" s="10"/>
      <c r="BE8" s="19"/>
      <c r="BF8" s="20" t="s">
        <v>35</v>
      </c>
      <c r="BG8" s="10">
        <v>465300</v>
      </c>
      <c r="BH8" s="11"/>
      <c r="BI8" s="28"/>
      <c r="BJ8" s="26"/>
      <c r="BL8" s="9">
        <v>4000</v>
      </c>
      <c r="BM8" s="9">
        <v>8500</v>
      </c>
      <c r="BN8" s="9">
        <v>800</v>
      </c>
      <c r="BO8" s="9">
        <v>600</v>
      </c>
      <c r="BP8" s="9">
        <v>650</v>
      </c>
      <c r="BQ8" s="9">
        <v>80000</v>
      </c>
      <c r="BR8" s="9">
        <v>3000</v>
      </c>
      <c r="BS8" s="11"/>
      <c r="BT8" s="68">
        <v>3000</v>
      </c>
      <c r="BU8" s="68">
        <v>35500</v>
      </c>
      <c r="BV8" s="10"/>
      <c r="BW8" s="68">
        <v>3000</v>
      </c>
      <c r="BX8" s="68">
        <v>120500</v>
      </c>
      <c r="BY8" s="68">
        <v>50000</v>
      </c>
      <c r="BZ8" s="19"/>
      <c r="CA8" s="20" t="s">
        <v>31</v>
      </c>
      <c r="CB8" s="10">
        <v>14000</v>
      </c>
      <c r="CC8" s="11"/>
      <c r="CD8" s="28"/>
      <c r="CE8" s="26"/>
      <c r="CG8" s="9">
        <v>16000</v>
      </c>
      <c r="CH8" s="9">
        <v>2000</v>
      </c>
      <c r="CI8" s="9">
        <v>500</v>
      </c>
      <c r="CJ8" s="9">
        <v>7500</v>
      </c>
      <c r="CK8" s="9">
        <v>30000</v>
      </c>
      <c r="CL8" s="9"/>
      <c r="CM8" s="9"/>
      <c r="CN8" s="11"/>
      <c r="CO8" s="68">
        <v>4000</v>
      </c>
      <c r="CP8" s="68">
        <v>79200</v>
      </c>
      <c r="CQ8" s="10"/>
      <c r="CR8" s="68">
        <v>36000</v>
      </c>
      <c r="CS8" s="68">
        <v>14000</v>
      </c>
      <c r="CT8" s="10"/>
      <c r="CU8" s="19"/>
      <c r="CV8" s="20" t="s">
        <v>49</v>
      </c>
      <c r="CW8" s="10">
        <v>56620</v>
      </c>
      <c r="CX8" s="11"/>
      <c r="CY8" s="28"/>
      <c r="CZ8" s="26"/>
      <c r="DB8" s="40"/>
      <c r="DC8" s="52"/>
      <c r="DD8" s="53"/>
      <c r="DE8" s="54"/>
    </row>
    <row r="9" ht="15" customHeight="1" spans="1:109">
      <c r="A9" s="9">
        <v>2500</v>
      </c>
      <c r="B9" s="9">
        <v>10000</v>
      </c>
      <c r="C9" s="9">
        <v>16900</v>
      </c>
      <c r="D9" s="9">
        <v>2000</v>
      </c>
      <c r="E9" s="9">
        <v>5000</v>
      </c>
      <c r="F9" s="9">
        <v>2500</v>
      </c>
      <c r="G9" s="9"/>
      <c r="H9" s="11"/>
      <c r="I9" s="68">
        <v>1800</v>
      </c>
      <c r="J9" s="68">
        <v>500</v>
      </c>
      <c r="K9" s="10"/>
      <c r="L9" s="68">
        <v>10400</v>
      </c>
      <c r="M9" s="68">
        <v>8500</v>
      </c>
      <c r="N9" s="68">
        <v>43000</v>
      </c>
      <c r="O9" s="19"/>
      <c r="P9" s="20" t="s">
        <v>113</v>
      </c>
      <c r="Q9" s="10">
        <v>491100</v>
      </c>
      <c r="R9" s="11"/>
      <c r="S9" s="29" t="s">
        <v>33</v>
      </c>
      <c r="T9" s="30">
        <f>T3+T5</f>
        <v>3955690</v>
      </c>
      <c r="U9" s="24"/>
      <c r="V9" s="9">
        <v>12000</v>
      </c>
      <c r="W9" s="9">
        <v>5500</v>
      </c>
      <c r="X9" s="9">
        <v>3500</v>
      </c>
      <c r="Y9" s="9">
        <v>3500</v>
      </c>
      <c r="Z9" s="9">
        <v>3000</v>
      </c>
      <c r="AA9" s="9">
        <v>600</v>
      </c>
      <c r="AB9" s="9">
        <v>9000</v>
      </c>
      <c r="AC9" s="11"/>
      <c r="AD9" s="68">
        <v>25250</v>
      </c>
      <c r="AE9" s="68">
        <v>10570</v>
      </c>
      <c r="AF9" s="68">
        <v>24900</v>
      </c>
      <c r="AG9" s="68">
        <v>9000</v>
      </c>
      <c r="AH9" s="68">
        <v>11000</v>
      </c>
      <c r="AI9" s="68">
        <v>3500</v>
      </c>
      <c r="AJ9" s="19"/>
      <c r="AK9" s="20" t="s">
        <v>31</v>
      </c>
      <c r="AL9" s="10">
        <v>16700</v>
      </c>
      <c r="AM9" s="11"/>
      <c r="AN9" s="29" t="s">
        <v>33</v>
      </c>
      <c r="AO9" s="30">
        <f>AO3+AO5</f>
        <v>4310230</v>
      </c>
      <c r="AQ9" s="9">
        <v>39500</v>
      </c>
      <c r="AR9" s="9">
        <v>6000</v>
      </c>
      <c r="AS9" s="9">
        <v>1000</v>
      </c>
      <c r="AT9" s="9">
        <v>20000</v>
      </c>
      <c r="AU9" s="9">
        <v>9000</v>
      </c>
      <c r="AV9" s="9">
        <v>3000</v>
      </c>
      <c r="AW9" s="9"/>
      <c r="AX9" s="11"/>
      <c r="AY9" s="68">
        <v>1500</v>
      </c>
      <c r="AZ9" s="68">
        <v>1000</v>
      </c>
      <c r="BA9" s="68">
        <v>16000</v>
      </c>
      <c r="BB9" s="68">
        <v>9000</v>
      </c>
      <c r="BC9" s="68">
        <v>6500</v>
      </c>
      <c r="BD9" s="10"/>
      <c r="BE9" s="19"/>
      <c r="BF9" s="20" t="s">
        <v>114</v>
      </c>
      <c r="BG9" s="10">
        <v>30000</v>
      </c>
      <c r="BH9" s="11"/>
      <c r="BI9" s="29" t="s">
        <v>33</v>
      </c>
      <c r="BJ9" s="30">
        <f>BJ3+BJ5</f>
        <v>3874995</v>
      </c>
      <c r="BL9" s="9">
        <v>36000</v>
      </c>
      <c r="BM9" s="9">
        <v>3400</v>
      </c>
      <c r="BN9" s="9">
        <v>4000</v>
      </c>
      <c r="BO9" s="9">
        <v>6300</v>
      </c>
      <c r="BP9" s="9">
        <v>5000</v>
      </c>
      <c r="BQ9" s="9">
        <v>13500</v>
      </c>
      <c r="BR9" s="9">
        <v>3000</v>
      </c>
      <c r="BS9" s="11"/>
      <c r="BT9" s="68">
        <v>3500</v>
      </c>
      <c r="BU9" s="68">
        <v>5000</v>
      </c>
      <c r="BV9" s="10"/>
      <c r="BW9" s="68">
        <v>1500</v>
      </c>
      <c r="BX9" s="68">
        <v>3500</v>
      </c>
      <c r="BY9" s="68">
        <v>36000</v>
      </c>
      <c r="BZ9" s="19"/>
      <c r="CA9" s="20" t="s">
        <v>5</v>
      </c>
      <c r="CB9" s="10">
        <v>165264</v>
      </c>
      <c r="CC9" s="11"/>
      <c r="CD9" s="29" t="s">
        <v>33</v>
      </c>
      <c r="CE9" s="30">
        <f>CE3+CE5</f>
        <v>3447110</v>
      </c>
      <c r="CG9" s="9">
        <v>1000</v>
      </c>
      <c r="CH9" s="9">
        <v>5000</v>
      </c>
      <c r="CI9" s="9">
        <v>8800</v>
      </c>
      <c r="CJ9" s="9">
        <v>9200</v>
      </c>
      <c r="CK9" s="9">
        <v>4500</v>
      </c>
      <c r="CL9" s="9"/>
      <c r="CM9" s="9"/>
      <c r="CN9" s="11"/>
      <c r="CO9" s="68">
        <v>24020</v>
      </c>
      <c r="CP9" s="68">
        <v>5000</v>
      </c>
      <c r="CQ9" s="10"/>
      <c r="CR9" s="68">
        <v>5500</v>
      </c>
      <c r="CS9" s="68">
        <v>8500</v>
      </c>
      <c r="CT9" s="10"/>
      <c r="CU9" s="19"/>
      <c r="CV9" s="20" t="s">
        <v>115</v>
      </c>
      <c r="CW9" s="10">
        <v>214000</v>
      </c>
      <c r="CX9" s="11"/>
      <c r="CY9" s="29" t="s">
        <v>33</v>
      </c>
      <c r="CZ9" s="30">
        <f>CZ3+CZ5</f>
        <v>3081120</v>
      </c>
      <c r="DB9" s="41" t="s">
        <v>33</v>
      </c>
      <c r="DC9" s="55"/>
      <c r="DD9" s="56">
        <f>DD3+DD5</f>
        <v>18669145</v>
      </c>
      <c r="DE9" s="57"/>
    </row>
    <row r="10" ht="15" customHeight="1" spans="1:109">
      <c r="A10" s="9">
        <v>2500</v>
      </c>
      <c r="B10" s="9">
        <v>2400</v>
      </c>
      <c r="C10" s="9">
        <v>15000</v>
      </c>
      <c r="D10" s="9">
        <v>4000</v>
      </c>
      <c r="E10" s="9">
        <v>3000</v>
      </c>
      <c r="F10" s="9"/>
      <c r="G10" s="9"/>
      <c r="H10" s="11"/>
      <c r="I10" s="68">
        <v>4000</v>
      </c>
      <c r="J10" s="68">
        <v>16000</v>
      </c>
      <c r="K10" s="10"/>
      <c r="L10" s="68">
        <v>5500</v>
      </c>
      <c r="M10" s="68">
        <v>2500</v>
      </c>
      <c r="N10" s="68">
        <v>47000</v>
      </c>
      <c r="O10" s="19"/>
      <c r="P10" s="20" t="s">
        <v>10</v>
      </c>
      <c r="Q10" s="10">
        <v>100000</v>
      </c>
      <c r="R10" s="11"/>
      <c r="S10" s="29" t="s">
        <v>36</v>
      </c>
      <c r="T10" s="30">
        <f>T1+T3+T5-T7+T15+T16</f>
        <v>2929330</v>
      </c>
      <c r="U10" s="24"/>
      <c r="V10" s="9">
        <v>8000</v>
      </c>
      <c r="W10" s="9">
        <v>2000</v>
      </c>
      <c r="X10" s="9">
        <v>4000</v>
      </c>
      <c r="Y10" s="9">
        <v>700</v>
      </c>
      <c r="Z10" s="9">
        <v>3500</v>
      </c>
      <c r="AA10" s="9">
        <v>4500</v>
      </c>
      <c r="AB10" s="9">
        <v>6800</v>
      </c>
      <c r="AC10" s="11"/>
      <c r="AD10" s="68">
        <v>16810</v>
      </c>
      <c r="AE10" s="68">
        <v>4950</v>
      </c>
      <c r="AF10" s="68">
        <v>14410</v>
      </c>
      <c r="AG10" s="68">
        <v>1600</v>
      </c>
      <c r="AH10" s="68">
        <v>5000</v>
      </c>
      <c r="AI10" s="68">
        <v>34500</v>
      </c>
      <c r="AJ10" s="19"/>
      <c r="AK10" s="20" t="s">
        <v>31</v>
      </c>
      <c r="AL10" s="10">
        <v>44000</v>
      </c>
      <c r="AM10" s="11"/>
      <c r="AN10" s="29" t="s">
        <v>36</v>
      </c>
      <c r="AO10" s="30">
        <f>AO1+AO3+AO5-AO7+AO15+AO16</f>
        <v>1015040</v>
      </c>
      <c r="AQ10" s="9">
        <v>5400</v>
      </c>
      <c r="AR10" s="9">
        <v>4000</v>
      </c>
      <c r="AS10" s="9">
        <v>2000</v>
      </c>
      <c r="AT10" s="9">
        <v>3000</v>
      </c>
      <c r="AU10" s="9">
        <v>12000</v>
      </c>
      <c r="AV10" s="9">
        <v>4500</v>
      </c>
      <c r="AW10" s="9"/>
      <c r="AX10" s="11"/>
      <c r="AY10" s="68">
        <v>6600</v>
      </c>
      <c r="AZ10" s="68">
        <v>4060</v>
      </c>
      <c r="BA10" s="68">
        <v>13000</v>
      </c>
      <c r="BB10" s="68">
        <v>8500</v>
      </c>
      <c r="BC10" s="68">
        <v>1500</v>
      </c>
      <c r="BD10" s="10"/>
      <c r="BE10" s="19"/>
      <c r="BF10" s="20" t="s">
        <v>116</v>
      </c>
      <c r="BG10" s="10">
        <v>213440</v>
      </c>
      <c r="BH10" s="11"/>
      <c r="BI10" s="29" t="s">
        <v>36</v>
      </c>
      <c r="BJ10" s="30">
        <f>BJ1+BJ3+BJ5-BJ7+BJ15+BJ16</f>
        <v>1302125</v>
      </c>
      <c r="BL10" s="9">
        <v>5000</v>
      </c>
      <c r="BM10" s="9">
        <v>500</v>
      </c>
      <c r="BN10" s="9">
        <v>9000</v>
      </c>
      <c r="BO10" s="9">
        <v>9200</v>
      </c>
      <c r="BP10" s="9">
        <v>2000</v>
      </c>
      <c r="BQ10" s="9">
        <v>2000</v>
      </c>
      <c r="BR10" s="9">
        <v>2600</v>
      </c>
      <c r="BS10" s="11"/>
      <c r="BT10" s="68">
        <v>500</v>
      </c>
      <c r="BU10" s="68">
        <v>18000</v>
      </c>
      <c r="BV10" s="10"/>
      <c r="BW10" s="68">
        <v>20000</v>
      </c>
      <c r="BX10" s="68">
        <v>5000</v>
      </c>
      <c r="BY10" s="68">
        <v>4200</v>
      </c>
      <c r="BZ10" s="19"/>
      <c r="CA10" s="20" t="s">
        <v>18</v>
      </c>
      <c r="CB10" s="10">
        <v>931190</v>
      </c>
      <c r="CC10" s="11"/>
      <c r="CD10" s="29" t="s">
        <v>36</v>
      </c>
      <c r="CE10" s="30">
        <f>CE1+CE3+CE5-CE7+CE15+CE16</f>
        <v>-1246859</v>
      </c>
      <c r="CG10" s="9">
        <v>9500</v>
      </c>
      <c r="CH10" s="9">
        <v>4500</v>
      </c>
      <c r="CI10" s="9">
        <v>33000</v>
      </c>
      <c r="CJ10" s="9">
        <v>10000</v>
      </c>
      <c r="CK10" s="9">
        <v>1500</v>
      </c>
      <c r="CL10" s="9"/>
      <c r="CM10" s="9"/>
      <c r="CN10" s="11"/>
      <c r="CO10" s="68">
        <v>22500</v>
      </c>
      <c r="CP10" s="68">
        <v>9500</v>
      </c>
      <c r="CQ10" s="10"/>
      <c r="CR10" s="68">
        <v>13500</v>
      </c>
      <c r="CS10" s="68">
        <v>2500</v>
      </c>
      <c r="CT10" s="10"/>
      <c r="CU10" s="19"/>
      <c r="CV10" s="20" t="s">
        <v>117</v>
      </c>
      <c r="CW10" s="10">
        <v>25000</v>
      </c>
      <c r="CX10" s="11"/>
      <c r="CY10" s="29" t="s">
        <v>36</v>
      </c>
      <c r="CZ10" s="30">
        <f>CZ1+CZ3+CZ5-CZ7+CZ15+CZ16</f>
        <v>1151320</v>
      </c>
      <c r="DB10" s="42"/>
      <c r="DC10" s="58"/>
      <c r="DD10" s="59"/>
      <c r="DE10" s="60"/>
    </row>
    <row r="11" ht="15" customHeight="1" spans="1:109">
      <c r="A11" s="9">
        <v>1000</v>
      </c>
      <c r="B11" s="9">
        <v>800</v>
      </c>
      <c r="C11" s="9">
        <v>1500</v>
      </c>
      <c r="D11" s="9">
        <v>7000</v>
      </c>
      <c r="E11" s="9">
        <v>2700</v>
      </c>
      <c r="F11" s="9"/>
      <c r="G11" s="9"/>
      <c r="H11" s="11"/>
      <c r="I11" s="68">
        <v>29000</v>
      </c>
      <c r="J11" s="68">
        <v>10000</v>
      </c>
      <c r="K11" s="10"/>
      <c r="L11" s="68">
        <v>3500</v>
      </c>
      <c r="M11" s="68">
        <v>1500</v>
      </c>
      <c r="N11" s="68">
        <v>800</v>
      </c>
      <c r="O11" s="19"/>
      <c r="P11" s="20" t="s">
        <v>51</v>
      </c>
      <c r="Q11" s="10">
        <v>110000</v>
      </c>
      <c r="R11" s="11"/>
      <c r="S11" s="29" t="s">
        <v>40</v>
      </c>
      <c r="T11" s="30">
        <f>T9/7</f>
        <v>565098.571428571</v>
      </c>
      <c r="U11" s="24"/>
      <c r="V11" s="9">
        <v>3500</v>
      </c>
      <c r="W11" s="9">
        <v>8000</v>
      </c>
      <c r="X11" s="9">
        <v>7400</v>
      </c>
      <c r="Y11" s="9">
        <v>2500</v>
      </c>
      <c r="Z11" s="9">
        <v>8800</v>
      </c>
      <c r="AA11" s="9">
        <v>4000</v>
      </c>
      <c r="AB11" s="9">
        <v>12000</v>
      </c>
      <c r="AC11" s="11"/>
      <c r="AD11" s="68">
        <v>3360</v>
      </c>
      <c r="AE11" s="68">
        <v>11530</v>
      </c>
      <c r="AF11" s="68">
        <v>5100</v>
      </c>
      <c r="AG11" s="68">
        <v>6500</v>
      </c>
      <c r="AH11" s="68">
        <v>600</v>
      </c>
      <c r="AI11" s="68">
        <v>1000</v>
      </c>
      <c r="AJ11" s="19"/>
      <c r="AK11" s="20" t="s">
        <v>28</v>
      </c>
      <c r="AL11" s="10">
        <v>584000</v>
      </c>
      <c r="AM11" s="11"/>
      <c r="AN11" s="29" t="s">
        <v>40</v>
      </c>
      <c r="AO11" s="30">
        <f>AO9/7</f>
        <v>615747.142857143</v>
      </c>
      <c r="AQ11" s="9">
        <v>2500</v>
      </c>
      <c r="AR11" s="9">
        <v>800</v>
      </c>
      <c r="AS11" s="9">
        <v>2000</v>
      </c>
      <c r="AT11" s="9">
        <v>14000</v>
      </c>
      <c r="AU11" s="9">
        <v>2800</v>
      </c>
      <c r="AV11" s="9">
        <v>10000</v>
      </c>
      <c r="AW11" s="9"/>
      <c r="AX11" s="11"/>
      <c r="AY11" s="68">
        <v>2770</v>
      </c>
      <c r="AZ11" s="68">
        <v>11580</v>
      </c>
      <c r="BA11" s="68">
        <v>8500</v>
      </c>
      <c r="BB11" s="68">
        <v>11000</v>
      </c>
      <c r="BC11" s="68">
        <v>3000</v>
      </c>
      <c r="BD11" s="10"/>
      <c r="BE11" s="19"/>
      <c r="BF11" s="20" t="s">
        <v>100</v>
      </c>
      <c r="BG11" s="10">
        <v>235460</v>
      </c>
      <c r="BH11" s="11"/>
      <c r="BI11" s="29" t="s">
        <v>40</v>
      </c>
      <c r="BJ11" s="30">
        <f>BJ9/7</f>
        <v>553570.714285714</v>
      </c>
      <c r="BL11" s="9">
        <v>2500</v>
      </c>
      <c r="BM11" s="9">
        <v>6500</v>
      </c>
      <c r="BN11" s="9">
        <v>6600</v>
      </c>
      <c r="BO11" s="9">
        <v>1000</v>
      </c>
      <c r="BP11" s="9">
        <v>12300</v>
      </c>
      <c r="BQ11" s="9">
        <v>4000</v>
      </c>
      <c r="BR11" s="9">
        <v>5500</v>
      </c>
      <c r="BS11" s="11"/>
      <c r="BT11" s="68">
        <v>3500</v>
      </c>
      <c r="BU11" s="68">
        <v>6210</v>
      </c>
      <c r="BV11" s="10"/>
      <c r="BW11" s="68">
        <v>5500</v>
      </c>
      <c r="BX11" s="68">
        <v>35100</v>
      </c>
      <c r="BY11" s="68">
        <v>23000</v>
      </c>
      <c r="BZ11" s="19"/>
      <c r="CA11" s="20" t="s">
        <v>14</v>
      </c>
      <c r="CB11" s="10">
        <v>564300</v>
      </c>
      <c r="CC11" s="11"/>
      <c r="CD11" s="29" t="s">
        <v>40</v>
      </c>
      <c r="CE11" s="30">
        <f>CE9/7</f>
        <v>492444.285714286</v>
      </c>
      <c r="CG11" s="9">
        <v>4500</v>
      </c>
      <c r="CH11" s="9">
        <v>33000</v>
      </c>
      <c r="CI11" s="9">
        <v>13000</v>
      </c>
      <c r="CJ11" s="9">
        <v>7800</v>
      </c>
      <c r="CK11" s="9">
        <v>9200</v>
      </c>
      <c r="CL11" s="9"/>
      <c r="CM11" s="9"/>
      <c r="CN11" s="11"/>
      <c r="CO11" s="68">
        <v>12000</v>
      </c>
      <c r="CP11" s="68">
        <v>4950</v>
      </c>
      <c r="CQ11" s="10"/>
      <c r="CR11" s="68">
        <v>28000</v>
      </c>
      <c r="CS11" s="68">
        <v>4400</v>
      </c>
      <c r="CT11" s="10"/>
      <c r="CU11" s="19"/>
      <c r="CV11" s="20"/>
      <c r="CW11" s="10"/>
      <c r="CX11" s="11"/>
      <c r="CY11" s="29" t="s">
        <v>40</v>
      </c>
      <c r="CZ11" s="30">
        <f>CZ9/7</f>
        <v>440160</v>
      </c>
      <c r="DB11" s="43" t="s">
        <v>36</v>
      </c>
      <c r="DC11" s="61"/>
      <c r="DD11" s="62">
        <f>DD9-DD7</f>
        <v>168371</v>
      </c>
      <c r="DE11" s="63"/>
    </row>
    <row r="12" ht="15" customHeight="1" spans="1:109">
      <c r="A12" s="9">
        <v>45000</v>
      </c>
      <c r="B12" s="9">
        <v>21000</v>
      </c>
      <c r="C12" s="9">
        <v>8000</v>
      </c>
      <c r="D12" s="9">
        <v>10000</v>
      </c>
      <c r="E12" s="9">
        <v>6600</v>
      </c>
      <c r="F12" s="9"/>
      <c r="G12" s="9"/>
      <c r="H12" s="11"/>
      <c r="I12" s="68">
        <v>20000</v>
      </c>
      <c r="J12" s="68">
        <v>5500</v>
      </c>
      <c r="K12" s="10"/>
      <c r="L12" s="68">
        <v>3000</v>
      </c>
      <c r="M12" s="68">
        <v>15000</v>
      </c>
      <c r="N12" s="68">
        <v>26000</v>
      </c>
      <c r="O12" s="19"/>
      <c r="P12" s="20" t="s">
        <v>118</v>
      </c>
      <c r="Q12" s="10">
        <v>16000</v>
      </c>
      <c r="R12" s="11"/>
      <c r="S12" s="24"/>
      <c r="T12" s="24">
        <v>600000</v>
      </c>
      <c r="U12" s="24"/>
      <c r="V12" s="9">
        <v>4500</v>
      </c>
      <c r="W12" s="9">
        <v>17000</v>
      </c>
      <c r="X12" s="9">
        <v>5000</v>
      </c>
      <c r="Y12" s="9">
        <v>36000</v>
      </c>
      <c r="Z12" s="9">
        <v>4400</v>
      </c>
      <c r="AA12" s="9">
        <v>5000</v>
      </c>
      <c r="AB12" s="9">
        <v>10500</v>
      </c>
      <c r="AC12" s="11"/>
      <c r="AD12" s="68">
        <v>7000</v>
      </c>
      <c r="AE12" s="68">
        <v>31700</v>
      </c>
      <c r="AF12" s="68">
        <v>2000</v>
      </c>
      <c r="AG12" s="68">
        <v>14500</v>
      </c>
      <c r="AH12" s="68">
        <v>12500</v>
      </c>
      <c r="AI12" s="68">
        <v>29500</v>
      </c>
      <c r="AJ12" s="19"/>
      <c r="AK12" s="20" t="s">
        <v>6</v>
      </c>
      <c r="AL12" s="10">
        <v>1125000</v>
      </c>
      <c r="AM12" s="11"/>
      <c r="AN12" s="24"/>
      <c r="AO12" s="24"/>
      <c r="AQ12" s="9">
        <v>1500</v>
      </c>
      <c r="AR12" s="9">
        <v>7000</v>
      </c>
      <c r="AS12" s="9">
        <v>8000</v>
      </c>
      <c r="AT12" s="9">
        <v>4000</v>
      </c>
      <c r="AU12" s="9">
        <v>10000</v>
      </c>
      <c r="AV12" s="9">
        <v>8000</v>
      </c>
      <c r="AW12" s="9"/>
      <c r="AX12" s="11"/>
      <c r="AY12" s="68">
        <v>24500</v>
      </c>
      <c r="AZ12" s="68">
        <v>12805</v>
      </c>
      <c r="BA12" s="68">
        <v>6000</v>
      </c>
      <c r="BB12" s="68">
        <v>85000</v>
      </c>
      <c r="BC12" s="68">
        <v>73000</v>
      </c>
      <c r="BD12" s="10"/>
      <c r="BE12" s="19"/>
      <c r="BF12" s="20" t="s">
        <v>11</v>
      </c>
      <c r="BG12" s="10">
        <v>97110</v>
      </c>
      <c r="BH12" s="11"/>
      <c r="BI12" s="24">
        <v>465300</v>
      </c>
      <c r="BJ12" s="24">
        <v>288000</v>
      </c>
      <c r="BL12" s="9">
        <v>9500</v>
      </c>
      <c r="BM12" s="9">
        <v>1500</v>
      </c>
      <c r="BN12" s="9">
        <v>11500</v>
      </c>
      <c r="BO12" s="9">
        <v>3500</v>
      </c>
      <c r="BP12" s="9">
        <v>23500</v>
      </c>
      <c r="BQ12" s="9">
        <v>2500</v>
      </c>
      <c r="BR12" s="9">
        <v>7500</v>
      </c>
      <c r="BS12" s="11"/>
      <c r="BT12" s="68">
        <v>5000</v>
      </c>
      <c r="BU12" s="68">
        <v>3840</v>
      </c>
      <c r="BV12" s="10"/>
      <c r="BW12" s="68">
        <v>14000</v>
      </c>
      <c r="BX12" s="68">
        <v>11500</v>
      </c>
      <c r="BY12" s="68">
        <v>4500</v>
      </c>
      <c r="BZ12" s="19"/>
      <c r="CA12" s="20" t="s">
        <v>72</v>
      </c>
      <c r="CB12" s="10">
        <v>96960</v>
      </c>
      <c r="CC12" s="11"/>
      <c r="CD12" s="24">
        <v>250000</v>
      </c>
      <c r="CE12" s="24">
        <v>860860</v>
      </c>
      <c r="CF12" s="24"/>
      <c r="CG12" s="9">
        <v>1800</v>
      </c>
      <c r="CH12" s="9">
        <v>84000</v>
      </c>
      <c r="CI12" s="9">
        <v>4000</v>
      </c>
      <c r="CJ12" s="9">
        <v>1000</v>
      </c>
      <c r="CK12" s="9">
        <v>32000</v>
      </c>
      <c r="CL12" s="9"/>
      <c r="CM12" s="9"/>
      <c r="CN12" s="11"/>
      <c r="CO12" s="68">
        <v>37370</v>
      </c>
      <c r="CP12" s="68">
        <v>15500</v>
      </c>
      <c r="CQ12" s="10"/>
      <c r="CR12" s="68">
        <v>34000</v>
      </c>
      <c r="CS12" s="68">
        <v>6000</v>
      </c>
      <c r="CT12" s="10"/>
      <c r="CU12" s="19"/>
      <c r="CV12" s="20"/>
      <c r="CW12" s="10"/>
      <c r="CX12" s="11"/>
      <c r="CY12" s="24"/>
      <c r="CZ12" s="24"/>
      <c r="DB12" s="44"/>
      <c r="DC12" s="64"/>
      <c r="DD12" s="65"/>
      <c r="DE12" s="66"/>
    </row>
    <row r="13" spans="1:104">
      <c r="A13" s="9">
        <v>5000</v>
      </c>
      <c r="B13" s="9">
        <v>6000</v>
      </c>
      <c r="C13" s="9">
        <v>107000</v>
      </c>
      <c r="D13" s="9">
        <v>2200</v>
      </c>
      <c r="E13" s="9">
        <v>1200</v>
      </c>
      <c r="F13" s="9"/>
      <c r="G13" s="9"/>
      <c r="H13" s="11"/>
      <c r="I13" s="68">
        <v>66600</v>
      </c>
      <c r="J13" s="68">
        <v>17600</v>
      </c>
      <c r="K13" s="10"/>
      <c r="L13" s="68">
        <v>10000</v>
      </c>
      <c r="M13" s="68">
        <v>2500</v>
      </c>
      <c r="N13" s="68">
        <v>5500</v>
      </c>
      <c r="O13" s="19"/>
      <c r="P13" s="20" t="s">
        <v>119</v>
      </c>
      <c r="Q13" s="10">
        <v>8000</v>
      </c>
      <c r="R13" s="11"/>
      <c r="S13" s="24"/>
      <c r="T13" s="31">
        <v>500000</v>
      </c>
      <c r="U13" s="24"/>
      <c r="V13" s="9">
        <v>6000</v>
      </c>
      <c r="W13" s="9">
        <v>10000</v>
      </c>
      <c r="X13" s="9">
        <v>14200</v>
      </c>
      <c r="Y13" s="9">
        <v>19500</v>
      </c>
      <c r="Z13" s="9">
        <v>800</v>
      </c>
      <c r="AA13" s="9">
        <v>5700</v>
      </c>
      <c r="AB13" s="9">
        <v>1600</v>
      </c>
      <c r="AC13" s="11"/>
      <c r="AD13" s="68">
        <v>8500</v>
      </c>
      <c r="AE13" s="68">
        <v>9610</v>
      </c>
      <c r="AF13" s="68">
        <v>13000</v>
      </c>
      <c r="AG13" s="68">
        <v>800</v>
      </c>
      <c r="AH13" s="68">
        <v>4000</v>
      </c>
      <c r="AI13" s="68">
        <v>12500</v>
      </c>
      <c r="AJ13" s="19"/>
      <c r="AK13" s="20"/>
      <c r="AL13" s="10"/>
      <c r="AM13" s="11"/>
      <c r="AN13" s="24"/>
      <c r="AO13" s="31">
        <v>300000</v>
      </c>
      <c r="AQ13" s="9">
        <v>3500</v>
      </c>
      <c r="AR13" s="9">
        <v>6000</v>
      </c>
      <c r="AS13" s="9">
        <v>5200</v>
      </c>
      <c r="AT13" s="9">
        <v>1500</v>
      </c>
      <c r="AU13" s="9">
        <v>7000</v>
      </c>
      <c r="AV13" s="9">
        <v>14000</v>
      </c>
      <c r="AW13" s="9"/>
      <c r="AX13" s="11"/>
      <c r="AY13" s="68">
        <v>27720</v>
      </c>
      <c r="AZ13" s="68">
        <v>6000</v>
      </c>
      <c r="BA13" s="68">
        <v>10500</v>
      </c>
      <c r="BB13" s="68">
        <v>29000</v>
      </c>
      <c r="BC13" s="68">
        <v>1000</v>
      </c>
      <c r="BD13" s="10"/>
      <c r="BE13" s="19"/>
      <c r="BF13" s="20" t="s">
        <v>34</v>
      </c>
      <c r="BG13" s="10">
        <v>48000</v>
      </c>
      <c r="BH13" s="11"/>
      <c r="BI13" s="24"/>
      <c r="BJ13" s="31">
        <v>55000</v>
      </c>
      <c r="BL13" s="9">
        <v>44500</v>
      </c>
      <c r="BM13" s="9">
        <v>1500</v>
      </c>
      <c r="BN13" s="9">
        <v>4500</v>
      </c>
      <c r="BO13" s="9">
        <v>8700</v>
      </c>
      <c r="BP13" s="9">
        <v>10000</v>
      </c>
      <c r="BQ13" s="9">
        <v>3500</v>
      </c>
      <c r="BR13" s="9"/>
      <c r="BS13" s="11"/>
      <c r="BT13" s="68">
        <v>3500</v>
      </c>
      <c r="BU13" s="68">
        <v>10000</v>
      </c>
      <c r="BV13" s="10"/>
      <c r="BW13" s="68">
        <v>4000</v>
      </c>
      <c r="BX13" s="68">
        <v>20000</v>
      </c>
      <c r="BY13" s="68">
        <v>10000</v>
      </c>
      <c r="BZ13" s="19"/>
      <c r="CA13" s="20" t="s">
        <v>120</v>
      </c>
      <c r="CB13" s="10">
        <v>67300</v>
      </c>
      <c r="CC13" s="11"/>
      <c r="CD13" s="24">
        <v>508680</v>
      </c>
      <c r="CE13" s="31">
        <v>168260</v>
      </c>
      <c r="CF13" s="31"/>
      <c r="CG13" s="9">
        <v>4500</v>
      </c>
      <c r="CH13" s="9">
        <v>5000</v>
      </c>
      <c r="CI13" s="9">
        <v>2000</v>
      </c>
      <c r="CJ13" s="9">
        <v>25000</v>
      </c>
      <c r="CK13" s="9">
        <v>8000</v>
      </c>
      <c r="CL13" s="9"/>
      <c r="CM13" s="9"/>
      <c r="CN13" s="11"/>
      <c r="CO13" s="68">
        <v>2000</v>
      </c>
      <c r="CP13" s="68">
        <v>10850</v>
      </c>
      <c r="CQ13" s="10"/>
      <c r="CR13" s="68">
        <v>9000</v>
      </c>
      <c r="CS13" s="68">
        <v>4500</v>
      </c>
      <c r="CT13" s="10"/>
      <c r="CU13" s="19"/>
      <c r="CV13" s="20"/>
      <c r="CW13" s="10"/>
      <c r="CX13" s="11"/>
      <c r="CY13" s="24"/>
      <c r="CZ13" s="31"/>
    </row>
    <row r="14" spans="1:104">
      <c r="A14" s="9">
        <v>10000</v>
      </c>
      <c r="B14" s="9">
        <v>55000</v>
      </c>
      <c r="C14" s="9">
        <v>1000</v>
      </c>
      <c r="D14" s="9">
        <v>2750</v>
      </c>
      <c r="E14" s="9">
        <v>6500</v>
      </c>
      <c r="F14" s="9"/>
      <c r="G14" s="9"/>
      <c r="H14" s="11"/>
      <c r="I14" s="68">
        <v>15000</v>
      </c>
      <c r="J14" s="68">
        <v>2930</v>
      </c>
      <c r="K14" s="10"/>
      <c r="L14" s="68">
        <v>2800</v>
      </c>
      <c r="M14" s="68">
        <v>10000</v>
      </c>
      <c r="N14" s="68">
        <v>5200</v>
      </c>
      <c r="O14" s="19"/>
      <c r="P14" s="20"/>
      <c r="Q14" s="10"/>
      <c r="R14" s="11"/>
      <c r="S14" s="24"/>
      <c r="T14" s="34">
        <v>400000</v>
      </c>
      <c r="U14" s="24"/>
      <c r="V14" s="9">
        <v>6000</v>
      </c>
      <c r="W14" s="9">
        <v>1500</v>
      </c>
      <c r="X14" s="9">
        <v>1500</v>
      </c>
      <c r="Y14" s="9">
        <v>5000</v>
      </c>
      <c r="Z14" s="9">
        <v>2000</v>
      </c>
      <c r="AA14" s="9">
        <v>3500</v>
      </c>
      <c r="AB14" s="9">
        <v>11000</v>
      </c>
      <c r="AC14" s="11"/>
      <c r="AD14" s="68">
        <v>11000</v>
      </c>
      <c r="AE14" s="68">
        <v>4320</v>
      </c>
      <c r="AF14" s="68">
        <v>4500</v>
      </c>
      <c r="AG14" s="68">
        <v>1500</v>
      </c>
      <c r="AH14" s="68">
        <v>10700</v>
      </c>
      <c r="AI14" s="68">
        <v>22000</v>
      </c>
      <c r="AJ14" s="19"/>
      <c r="AK14" s="20"/>
      <c r="AL14" s="10"/>
      <c r="AM14" s="11"/>
      <c r="AN14" s="24"/>
      <c r="AO14" s="24">
        <v>139580</v>
      </c>
      <c r="AQ14" s="9">
        <v>32000</v>
      </c>
      <c r="AR14" s="9">
        <v>2000</v>
      </c>
      <c r="AS14" s="9">
        <v>5000</v>
      </c>
      <c r="AT14" s="9">
        <v>2000</v>
      </c>
      <c r="AU14" s="9">
        <v>18500</v>
      </c>
      <c r="AV14" s="9">
        <v>23500</v>
      </c>
      <c r="AW14" s="9"/>
      <c r="AX14" s="11"/>
      <c r="AY14" s="68">
        <v>4950</v>
      </c>
      <c r="AZ14" s="68">
        <v>1000</v>
      </c>
      <c r="BA14" s="68">
        <v>1000</v>
      </c>
      <c r="BB14" s="68">
        <v>800</v>
      </c>
      <c r="BC14" s="68">
        <v>16000</v>
      </c>
      <c r="BD14" s="10"/>
      <c r="BE14" s="19"/>
      <c r="BF14" s="20" t="s">
        <v>31</v>
      </c>
      <c r="BG14" s="10">
        <v>40000</v>
      </c>
      <c r="BH14" s="11"/>
      <c r="BI14" s="24"/>
      <c r="BJ14" s="24">
        <v>641090</v>
      </c>
      <c r="BL14" s="9">
        <v>2500</v>
      </c>
      <c r="BM14" s="9">
        <v>22000</v>
      </c>
      <c r="BN14" s="9">
        <v>500</v>
      </c>
      <c r="BO14" s="9">
        <v>2000</v>
      </c>
      <c r="BP14" s="9">
        <v>25000</v>
      </c>
      <c r="BQ14" s="9">
        <v>4000</v>
      </c>
      <c r="BR14" s="9"/>
      <c r="BS14" s="11"/>
      <c r="BT14" s="68">
        <v>6300</v>
      </c>
      <c r="BU14" s="68">
        <v>20200</v>
      </c>
      <c r="BV14" s="10"/>
      <c r="BW14" s="68">
        <v>12000</v>
      </c>
      <c r="BX14" s="68">
        <v>10500</v>
      </c>
      <c r="BY14" s="68">
        <v>1500</v>
      </c>
      <c r="BZ14" s="19"/>
      <c r="CA14" s="20" t="s">
        <v>14</v>
      </c>
      <c r="CB14" s="10">
        <v>860860</v>
      </c>
      <c r="CC14" s="11"/>
      <c r="CD14" s="24"/>
      <c r="CE14" s="24">
        <v>311140</v>
      </c>
      <c r="CF14" s="24"/>
      <c r="CG14" s="9">
        <v>2500</v>
      </c>
      <c r="CH14" s="9">
        <v>8000</v>
      </c>
      <c r="CI14" s="9">
        <v>4000</v>
      </c>
      <c r="CJ14" s="9">
        <v>9000</v>
      </c>
      <c r="CK14" s="9">
        <v>7000</v>
      </c>
      <c r="CL14" s="9"/>
      <c r="CM14" s="9"/>
      <c r="CN14" s="11"/>
      <c r="CO14" s="68">
        <v>6600</v>
      </c>
      <c r="CP14" s="68">
        <v>54500</v>
      </c>
      <c r="CQ14" s="10"/>
      <c r="CR14" s="68">
        <v>2300</v>
      </c>
      <c r="CS14" s="68">
        <v>25000</v>
      </c>
      <c r="CT14" s="10"/>
      <c r="CU14" s="19"/>
      <c r="CV14" s="20"/>
      <c r="CW14" s="10"/>
      <c r="CX14" s="11"/>
      <c r="CY14" s="24"/>
      <c r="CZ14" s="24">
        <v>791520</v>
      </c>
    </row>
    <row r="15" ht="15.75" customHeight="1" spans="1:104">
      <c r="A15" s="9">
        <v>4700</v>
      </c>
      <c r="B15" s="9">
        <v>2000</v>
      </c>
      <c r="C15" s="9">
        <v>8500</v>
      </c>
      <c r="D15" s="9">
        <v>600</v>
      </c>
      <c r="E15" s="9">
        <v>600</v>
      </c>
      <c r="F15" s="9"/>
      <c r="G15" s="9"/>
      <c r="H15" s="11"/>
      <c r="I15" s="68">
        <v>1400</v>
      </c>
      <c r="J15" s="68">
        <v>4400</v>
      </c>
      <c r="K15" s="10"/>
      <c r="L15" s="68">
        <v>1500</v>
      </c>
      <c r="M15" s="68">
        <v>5000</v>
      </c>
      <c r="N15" s="68">
        <v>3200</v>
      </c>
      <c r="O15" s="19"/>
      <c r="P15" s="20"/>
      <c r="Q15" s="10"/>
      <c r="R15" s="11"/>
      <c r="S15" s="32" t="s">
        <v>50</v>
      </c>
      <c r="T15" s="33">
        <v>1657350</v>
      </c>
      <c r="U15" s="24"/>
      <c r="V15" s="9">
        <v>8000</v>
      </c>
      <c r="W15" s="9">
        <v>12000</v>
      </c>
      <c r="X15" s="9">
        <v>4500</v>
      </c>
      <c r="Y15" s="9">
        <v>600</v>
      </c>
      <c r="Z15" s="9">
        <v>2000</v>
      </c>
      <c r="AA15" s="9">
        <v>19500</v>
      </c>
      <c r="AB15" s="9">
        <v>3000</v>
      </c>
      <c r="AC15" s="11"/>
      <c r="AD15" s="68">
        <v>11500</v>
      </c>
      <c r="AE15" s="68">
        <v>9030</v>
      </c>
      <c r="AF15" s="68">
        <v>8190</v>
      </c>
      <c r="AG15" s="68">
        <v>25500</v>
      </c>
      <c r="AH15" s="68">
        <v>3500</v>
      </c>
      <c r="AI15" s="68">
        <v>8000</v>
      </c>
      <c r="AJ15" s="19"/>
      <c r="AK15" s="20"/>
      <c r="AL15" s="10"/>
      <c r="AM15" s="11"/>
      <c r="AN15" s="32" t="s">
        <v>50</v>
      </c>
      <c r="AO15" s="33">
        <v>644810</v>
      </c>
      <c r="AQ15" s="9">
        <v>1200</v>
      </c>
      <c r="AR15" s="9">
        <v>9000</v>
      </c>
      <c r="AS15" s="9">
        <v>1200</v>
      </c>
      <c r="AT15" s="9">
        <v>8000</v>
      </c>
      <c r="AU15" s="9">
        <v>38300</v>
      </c>
      <c r="AV15" s="9">
        <v>27000</v>
      </c>
      <c r="AW15" s="9"/>
      <c r="AX15" s="11"/>
      <c r="AY15" s="68">
        <v>6930</v>
      </c>
      <c r="AZ15" s="68">
        <v>15000</v>
      </c>
      <c r="BA15" s="68">
        <v>24000</v>
      </c>
      <c r="BB15" s="68">
        <v>2250</v>
      </c>
      <c r="BC15" s="68">
        <v>14000</v>
      </c>
      <c r="BD15" s="10"/>
      <c r="BE15" s="19"/>
      <c r="BF15" s="20" t="s">
        <v>86</v>
      </c>
      <c r="BG15" s="10">
        <v>110000</v>
      </c>
      <c r="BH15" s="11"/>
      <c r="BI15" s="32" t="s">
        <v>50</v>
      </c>
      <c r="BJ15" s="33">
        <v>1268020</v>
      </c>
      <c r="BL15" s="9">
        <v>7300</v>
      </c>
      <c r="BM15" s="9">
        <v>2000</v>
      </c>
      <c r="BN15" s="9">
        <v>2500</v>
      </c>
      <c r="BO15" s="9">
        <v>1500</v>
      </c>
      <c r="BP15" s="9">
        <v>19900</v>
      </c>
      <c r="BQ15" s="9">
        <v>6500</v>
      </c>
      <c r="BR15" s="9"/>
      <c r="BS15" s="11"/>
      <c r="BT15" s="68">
        <v>400</v>
      </c>
      <c r="BU15" s="68">
        <v>4000</v>
      </c>
      <c r="BV15" s="10"/>
      <c r="BW15" s="68">
        <v>8500</v>
      </c>
      <c r="BX15" s="68">
        <v>18000</v>
      </c>
      <c r="BY15" s="68">
        <v>12500</v>
      </c>
      <c r="BZ15" s="19"/>
      <c r="CA15" s="20" t="s">
        <v>41</v>
      </c>
      <c r="CB15" s="10">
        <v>158000</v>
      </c>
      <c r="CC15" s="11"/>
      <c r="CD15" s="32" t="s">
        <v>50</v>
      </c>
      <c r="CE15" s="33">
        <v>984975</v>
      </c>
      <c r="CF15" s="24"/>
      <c r="CG15" s="9">
        <v>4000</v>
      </c>
      <c r="CH15" s="9">
        <v>5500</v>
      </c>
      <c r="CI15" s="9">
        <v>6000</v>
      </c>
      <c r="CJ15" s="9">
        <v>3000</v>
      </c>
      <c r="CK15" s="9">
        <v>8500</v>
      </c>
      <c r="CL15" s="9"/>
      <c r="CM15" s="9"/>
      <c r="CN15" s="11"/>
      <c r="CO15" s="68">
        <v>7500</v>
      </c>
      <c r="CP15" s="68">
        <v>12970</v>
      </c>
      <c r="CQ15" s="10"/>
      <c r="CR15" s="68">
        <v>24000</v>
      </c>
      <c r="CS15" s="68">
        <v>5000</v>
      </c>
      <c r="CT15" s="10"/>
      <c r="CU15" s="19"/>
      <c r="CV15" s="20"/>
      <c r="CW15" s="10"/>
      <c r="CX15" s="11"/>
      <c r="CY15" s="32" t="s">
        <v>50</v>
      </c>
      <c r="CZ15" s="33"/>
    </row>
    <row r="16" ht="15" customHeight="1" spans="1:104">
      <c r="A16" s="9">
        <v>6500</v>
      </c>
      <c r="B16" s="9">
        <v>5500</v>
      </c>
      <c r="C16" s="9">
        <v>2400</v>
      </c>
      <c r="D16" s="9">
        <v>4000</v>
      </c>
      <c r="E16" s="9">
        <v>4000</v>
      </c>
      <c r="F16" s="9"/>
      <c r="G16" s="9"/>
      <c r="H16" s="11"/>
      <c r="I16" s="68">
        <v>10000</v>
      </c>
      <c r="J16" s="68">
        <v>43230</v>
      </c>
      <c r="K16" s="10"/>
      <c r="L16" s="68">
        <v>2000</v>
      </c>
      <c r="M16" s="68">
        <v>21100</v>
      </c>
      <c r="N16" s="68">
        <v>35000</v>
      </c>
      <c r="O16" s="21"/>
      <c r="P16" s="20"/>
      <c r="Q16" s="10"/>
      <c r="R16" s="11"/>
      <c r="S16" s="32" t="s">
        <v>53</v>
      </c>
      <c r="T16" s="33">
        <v>86430</v>
      </c>
      <c r="U16" s="24"/>
      <c r="V16" s="9">
        <v>8000</v>
      </c>
      <c r="W16" s="9">
        <v>5500</v>
      </c>
      <c r="X16" s="9">
        <v>2500</v>
      </c>
      <c r="Y16" s="9">
        <v>1400</v>
      </c>
      <c r="Z16" s="9">
        <v>400</v>
      </c>
      <c r="AA16" s="9">
        <v>3500</v>
      </c>
      <c r="AB16" s="9">
        <v>2500</v>
      </c>
      <c r="AC16" s="11"/>
      <c r="AD16" s="68">
        <v>13500</v>
      </c>
      <c r="AE16" s="68">
        <v>1920</v>
      </c>
      <c r="AF16" s="68">
        <v>34580</v>
      </c>
      <c r="AG16" s="68">
        <v>3500</v>
      </c>
      <c r="AH16" s="68">
        <v>2000</v>
      </c>
      <c r="AI16" s="68">
        <v>14500</v>
      </c>
      <c r="AJ16" s="21"/>
      <c r="AK16" s="20"/>
      <c r="AL16" s="10"/>
      <c r="AM16" s="11"/>
      <c r="AN16" s="32" t="s">
        <v>53</v>
      </c>
      <c r="AO16" s="33"/>
      <c r="AQ16" s="9">
        <v>4500</v>
      </c>
      <c r="AR16" s="9">
        <v>4500</v>
      </c>
      <c r="AS16" s="9">
        <v>4000</v>
      </c>
      <c r="AT16" s="9">
        <v>8000</v>
      </c>
      <c r="AU16" s="9">
        <v>4500</v>
      </c>
      <c r="AV16" s="9">
        <v>4300</v>
      </c>
      <c r="AW16" s="9"/>
      <c r="AX16" s="11"/>
      <c r="AY16" s="68">
        <v>2310</v>
      </c>
      <c r="AZ16" s="68">
        <v>12000</v>
      </c>
      <c r="BA16" s="68">
        <v>2470</v>
      </c>
      <c r="BB16" s="68">
        <v>6500</v>
      </c>
      <c r="BC16" s="68">
        <v>71400</v>
      </c>
      <c r="BD16" s="10"/>
      <c r="BE16" s="21"/>
      <c r="BF16" s="20"/>
      <c r="BG16" s="10"/>
      <c r="BH16" s="11"/>
      <c r="BI16" s="32" t="s">
        <v>53</v>
      </c>
      <c r="BJ16" s="33">
        <v>55000</v>
      </c>
      <c r="BL16" s="9">
        <v>5500</v>
      </c>
      <c r="BM16" s="9">
        <v>33000</v>
      </c>
      <c r="BN16" s="9">
        <v>25000</v>
      </c>
      <c r="BO16" s="9">
        <v>3500</v>
      </c>
      <c r="BP16" s="9">
        <v>2500</v>
      </c>
      <c r="BQ16" s="9">
        <v>5500</v>
      </c>
      <c r="BR16" s="9"/>
      <c r="BS16" s="11"/>
      <c r="BT16" s="68">
        <v>7800</v>
      </c>
      <c r="BU16" s="68">
        <v>22000</v>
      </c>
      <c r="BV16" s="10"/>
      <c r="BW16" s="68">
        <v>10500</v>
      </c>
      <c r="BX16" s="68">
        <v>6000</v>
      </c>
      <c r="BY16" s="68">
        <v>4400</v>
      </c>
      <c r="BZ16" s="21"/>
      <c r="CA16" s="20" t="s">
        <v>39</v>
      </c>
      <c r="CB16" s="10">
        <v>27350</v>
      </c>
      <c r="CC16" s="11"/>
      <c r="CD16" s="32" t="s">
        <v>53</v>
      </c>
      <c r="CE16" s="33">
        <v>286000</v>
      </c>
      <c r="CF16" s="31"/>
      <c r="CG16" s="9">
        <v>29000</v>
      </c>
      <c r="CH16" s="9">
        <v>1500</v>
      </c>
      <c r="CI16" s="9">
        <v>3500</v>
      </c>
      <c r="CJ16" s="9">
        <v>500</v>
      </c>
      <c r="CK16" s="9">
        <v>2000</v>
      </c>
      <c r="CL16" s="9"/>
      <c r="CM16" s="9"/>
      <c r="CN16" s="11"/>
      <c r="CO16" s="68">
        <v>5500</v>
      </c>
      <c r="CP16" s="68">
        <v>6200</v>
      </c>
      <c r="CQ16" s="10"/>
      <c r="CR16" s="68">
        <v>2500</v>
      </c>
      <c r="CS16" s="68">
        <v>12000</v>
      </c>
      <c r="CT16" s="10"/>
      <c r="CU16" s="21"/>
      <c r="CV16" s="20"/>
      <c r="CW16" s="10"/>
      <c r="CX16" s="11"/>
      <c r="CY16" s="32" t="s">
        <v>53</v>
      </c>
      <c r="CZ16" s="33"/>
    </row>
    <row r="17" ht="15.75" customHeight="1" spans="1:104">
      <c r="A17" s="9">
        <v>1300</v>
      </c>
      <c r="B17" s="9">
        <v>7000</v>
      </c>
      <c r="C17" s="9">
        <v>7000</v>
      </c>
      <c r="D17" s="9">
        <v>3500</v>
      </c>
      <c r="E17" s="9">
        <v>9500</v>
      </c>
      <c r="F17" s="9"/>
      <c r="G17" s="9"/>
      <c r="H17" s="11"/>
      <c r="I17" s="68">
        <v>5500</v>
      </c>
      <c r="J17" s="68">
        <v>12970</v>
      </c>
      <c r="K17" s="10"/>
      <c r="L17" s="68">
        <v>1500</v>
      </c>
      <c r="M17" s="68">
        <v>9500</v>
      </c>
      <c r="N17" s="68">
        <v>14500</v>
      </c>
      <c r="O17" s="21"/>
      <c r="P17" s="20"/>
      <c r="Q17" s="10"/>
      <c r="R17" s="11"/>
      <c r="S17" s="24"/>
      <c r="T17" s="31">
        <v>197800</v>
      </c>
      <c r="U17" s="24"/>
      <c r="V17" s="9">
        <v>3500</v>
      </c>
      <c r="W17" s="9">
        <v>2300</v>
      </c>
      <c r="X17" s="9">
        <v>3500</v>
      </c>
      <c r="Y17" s="9">
        <v>12500</v>
      </c>
      <c r="Z17" s="9">
        <v>15000</v>
      </c>
      <c r="AA17" s="9">
        <v>4500</v>
      </c>
      <c r="AB17" s="9">
        <v>1000</v>
      </c>
      <c r="AC17" s="11"/>
      <c r="AD17" s="68">
        <v>5080</v>
      </c>
      <c r="AE17" s="68">
        <v>3000</v>
      </c>
      <c r="AF17" s="10"/>
      <c r="AG17" s="68">
        <v>13000</v>
      </c>
      <c r="AH17" s="68">
        <v>38000</v>
      </c>
      <c r="AI17" s="68">
        <v>8000</v>
      </c>
      <c r="AJ17" s="21"/>
      <c r="AK17" s="20"/>
      <c r="AL17" s="10"/>
      <c r="AM17" s="11"/>
      <c r="AN17" s="24"/>
      <c r="AO17" s="31">
        <v>191410</v>
      </c>
      <c r="AQ17" s="9">
        <v>31700</v>
      </c>
      <c r="AR17" s="9">
        <v>8500</v>
      </c>
      <c r="AS17" s="9">
        <v>2500</v>
      </c>
      <c r="AT17" s="9">
        <v>1000</v>
      </c>
      <c r="AU17" s="9">
        <v>3500</v>
      </c>
      <c r="AV17" s="9">
        <v>4000</v>
      </c>
      <c r="AW17" s="9"/>
      <c r="AX17" s="11"/>
      <c r="AY17" s="68">
        <v>24000</v>
      </c>
      <c r="AZ17" s="68">
        <v>17000</v>
      </c>
      <c r="BA17" s="68">
        <v>2500</v>
      </c>
      <c r="BB17" s="68">
        <v>5000</v>
      </c>
      <c r="BC17" s="68">
        <v>28000</v>
      </c>
      <c r="BD17" s="10"/>
      <c r="BE17" s="21"/>
      <c r="BF17" s="20"/>
      <c r="BG17" s="10"/>
      <c r="BH17" s="11"/>
      <c r="BI17" s="24"/>
      <c r="BJ17" s="31">
        <v>102090</v>
      </c>
      <c r="BL17" s="9">
        <v>9000</v>
      </c>
      <c r="BM17" s="9">
        <v>10200</v>
      </c>
      <c r="BN17" s="9">
        <v>700</v>
      </c>
      <c r="BO17" s="9">
        <v>1000</v>
      </c>
      <c r="BP17" s="9">
        <v>2500</v>
      </c>
      <c r="BQ17" s="9">
        <v>4500</v>
      </c>
      <c r="BR17" s="9"/>
      <c r="BS17" s="11"/>
      <c r="BT17" s="68">
        <v>42000</v>
      </c>
      <c r="BU17" s="68">
        <v>27860</v>
      </c>
      <c r="BV17" s="10"/>
      <c r="BW17" s="68">
        <v>13500</v>
      </c>
      <c r="BX17" s="68">
        <v>34000</v>
      </c>
      <c r="BY17" s="68">
        <v>6000</v>
      </c>
      <c r="BZ17" s="21"/>
      <c r="CA17" s="20" t="s">
        <v>31</v>
      </c>
      <c r="CB17" s="10">
        <v>26200</v>
      </c>
      <c r="CC17" s="11"/>
      <c r="CD17" s="24"/>
      <c r="CE17" s="31">
        <v>582940</v>
      </c>
      <c r="CF17" s="31"/>
      <c r="CG17" s="9">
        <v>12500</v>
      </c>
      <c r="CH17" s="9">
        <v>20000</v>
      </c>
      <c r="CI17" s="9">
        <v>4800</v>
      </c>
      <c r="CJ17" s="9">
        <v>2000</v>
      </c>
      <c r="CK17" s="9">
        <v>9000</v>
      </c>
      <c r="CL17" s="9"/>
      <c r="CM17" s="9"/>
      <c r="CN17" s="11"/>
      <c r="CO17" s="68">
        <v>57640</v>
      </c>
      <c r="CP17" s="68">
        <v>44000</v>
      </c>
      <c r="CQ17" s="10"/>
      <c r="CR17" s="68">
        <v>19000</v>
      </c>
      <c r="CS17" s="68">
        <v>4000</v>
      </c>
      <c r="CT17" s="10"/>
      <c r="CU17" s="21"/>
      <c r="CV17" s="20"/>
      <c r="CW17" s="10"/>
      <c r="CX17" s="11"/>
      <c r="CY17" s="24"/>
      <c r="CZ17" s="31">
        <v>11940</v>
      </c>
    </row>
    <row r="18" ht="15.75" customHeight="1" spans="1:104">
      <c r="A18" s="9">
        <v>16500</v>
      </c>
      <c r="B18" s="9">
        <v>2500</v>
      </c>
      <c r="C18" s="9">
        <v>2500</v>
      </c>
      <c r="D18" s="9">
        <v>7000</v>
      </c>
      <c r="E18" s="9">
        <v>5000</v>
      </c>
      <c r="F18" s="9"/>
      <c r="G18" s="9"/>
      <c r="H18" s="11"/>
      <c r="I18" s="68">
        <v>45000</v>
      </c>
      <c r="J18" s="68">
        <v>81810</v>
      </c>
      <c r="K18" s="10"/>
      <c r="L18" s="68">
        <v>14000</v>
      </c>
      <c r="M18" s="68">
        <v>2000</v>
      </c>
      <c r="N18" s="68">
        <v>9000</v>
      </c>
      <c r="O18" s="21"/>
      <c r="P18" s="20"/>
      <c r="Q18" s="10"/>
      <c r="R18" s="11"/>
      <c r="T18" s="31">
        <v>257120</v>
      </c>
      <c r="U18" s="24"/>
      <c r="V18" s="9">
        <v>1000</v>
      </c>
      <c r="W18" s="9">
        <v>5000</v>
      </c>
      <c r="X18" s="9">
        <v>46000</v>
      </c>
      <c r="Y18" s="9">
        <v>2000</v>
      </c>
      <c r="Z18" s="9">
        <v>2200</v>
      </c>
      <c r="AA18" s="9">
        <v>5500</v>
      </c>
      <c r="AB18" s="9">
        <v>1000</v>
      </c>
      <c r="AC18" s="11"/>
      <c r="AD18" s="68">
        <v>2000</v>
      </c>
      <c r="AE18" s="68">
        <v>21130</v>
      </c>
      <c r="AF18" s="10"/>
      <c r="AG18" s="68">
        <v>5000</v>
      </c>
      <c r="AH18" s="68">
        <v>5500</v>
      </c>
      <c r="AI18" s="68">
        <v>2000</v>
      </c>
      <c r="AJ18" s="21"/>
      <c r="AK18" s="20"/>
      <c r="AL18" s="10"/>
      <c r="AM18" s="11"/>
      <c r="AO18" s="31">
        <v>240000</v>
      </c>
      <c r="AQ18" s="9">
        <v>3000</v>
      </c>
      <c r="AR18" s="9">
        <v>2500</v>
      </c>
      <c r="AS18" s="9">
        <v>6500</v>
      </c>
      <c r="AT18" s="9">
        <v>3000</v>
      </c>
      <c r="AU18" s="9">
        <v>1500</v>
      </c>
      <c r="AV18" s="9">
        <v>3000</v>
      </c>
      <c r="AW18" s="9"/>
      <c r="AX18" s="11"/>
      <c r="AY18" s="68">
        <v>20170</v>
      </c>
      <c r="AZ18" s="68">
        <v>5000</v>
      </c>
      <c r="BA18" s="68">
        <v>6000</v>
      </c>
      <c r="BB18" s="68">
        <v>25000</v>
      </c>
      <c r="BC18" s="68">
        <v>3500</v>
      </c>
      <c r="BD18" s="10"/>
      <c r="BE18" s="21"/>
      <c r="BF18" s="20"/>
      <c r="BG18" s="10"/>
      <c r="BH18" s="11"/>
      <c r="BJ18" s="31">
        <v>380400</v>
      </c>
      <c r="BL18" s="9">
        <v>7500</v>
      </c>
      <c r="BM18" s="9">
        <v>1200</v>
      </c>
      <c r="BN18" s="9">
        <v>1800</v>
      </c>
      <c r="BO18" s="9">
        <v>7000</v>
      </c>
      <c r="BP18" s="9">
        <v>2700</v>
      </c>
      <c r="BQ18" s="9">
        <v>12000</v>
      </c>
      <c r="BR18" s="9"/>
      <c r="BS18" s="11"/>
      <c r="BT18" s="68">
        <v>6910</v>
      </c>
      <c r="BU18" s="68">
        <v>12490</v>
      </c>
      <c r="BV18" s="10"/>
      <c r="BW18" s="68">
        <v>16500</v>
      </c>
      <c r="BX18" s="68">
        <v>6500</v>
      </c>
      <c r="BY18" s="68">
        <v>16000</v>
      </c>
      <c r="BZ18" s="21"/>
      <c r="CA18" s="20" t="s">
        <v>31</v>
      </c>
      <c r="CB18" s="10">
        <v>10700</v>
      </c>
      <c r="CC18" s="11"/>
      <c r="CE18" s="31">
        <v>135000</v>
      </c>
      <c r="CF18" s="24"/>
      <c r="CG18" s="9">
        <v>1500</v>
      </c>
      <c r="CH18" s="9">
        <v>31500</v>
      </c>
      <c r="CI18" s="9">
        <v>4000</v>
      </c>
      <c r="CJ18" s="9">
        <v>3000</v>
      </c>
      <c r="CK18" s="9">
        <v>2000</v>
      </c>
      <c r="CL18" s="9"/>
      <c r="CM18" s="9"/>
      <c r="CN18" s="11"/>
      <c r="CO18" s="68">
        <v>25000</v>
      </c>
      <c r="CP18" s="68">
        <v>29580</v>
      </c>
      <c r="CQ18" s="10"/>
      <c r="CR18" s="68">
        <v>2500</v>
      </c>
      <c r="CS18" s="10"/>
      <c r="CT18" s="10"/>
      <c r="CU18" s="21"/>
      <c r="CV18" s="20"/>
      <c r="CW18" s="10"/>
      <c r="CX18" s="11"/>
      <c r="CZ18" s="31">
        <v>201580</v>
      </c>
    </row>
    <row r="19" ht="15.75" customHeight="1" spans="1:104">
      <c r="A19" s="9">
        <v>5000</v>
      </c>
      <c r="B19" s="9">
        <v>2000</v>
      </c>
      <c r="C19" s="9">
        <v>18000</v>
      </c>
      <c r="D19" s="9">
        <v>4500</v>
      </c>
      <c r="E19" s="9">
        <v>2500</v>
      </c>
      <c r="F19" s="9"/>
      <c r="G19" s="9"/>
      <c r="H19" s="11"/>
      <c r="I19" s="68">
        <v>15000</v>
      </c>
      <c r="J19" s="68">
        <v>4000</v>
      </c>
      <c r="K19" s="10"/>
      <c r="L19" s="68">
        <v>10000</v>
      </c>
      <c r="M19" s="68">
        <v>4000</v>
      </c>
      <c r="N19" s="68">
        <v>2500</v>
      </c>
      <c r="O19" s="21"/>
      <c r="P19" s="20"/>
      <c r="Q19" s="10"/>
      <c r="R19" s="11"/>
      <c r="S19" s="24"/>
      <c r="T19" s="31">
        <v>200000</v>
      </c>
      <c r="U19" s="24"/>
      <c r="V19" s="9">
        <v>18000</v>
      </c>
      <c r="W19" s="9">
        <v>2500</v>
      </c>
      <c r="X19" s="9">
        <v>4200</v>
      </c>
      <c r="Y19" s="9">
        <v>600</v>
      </c>
      <c r="Z19" s="9">
        <v>5000</v>
      </c>
      <c r="AA19" s="9">
        <v>6000</v>
      </c>
      <c r="AB19" s="9">
        <v>1200</v>
      </c>
      <c r="AC19" s="11"/>
      <c r="AD19" s="68">
        <v>93110</v>
      </c>
      <c r="AE19" s="68">
        <v>2000</v>
      </c>
      <c r="AF19" s="10"/>
      <c r="AG19" s="68">
        <v>4500</v>
      </c>
      <c r="AH19" s="68">
        <v>12300</v>
      </c>
      <c r="AI19" s="68">
        <v>12000</v>
      </c>
      <c r="AJ19" s="21"/>
      <c r="AK19" s="20"/>
      <c r="AL19" s="10"/>
      <c r="AM19" s="11"/>
      <c r="AN19" s="24"/>
      <c r="AO19" s="31">
        <v>500000</v>
      </c>
      <c r="AQ19" s="9">
        <v>20000</v>
      </c>
      <c r="AR19" s="9">
        <v>12000</v>
      </c>
      <c r="AS19" s="9">
        <v>1500</v>
      </c>
      <c r="AT19" s="9">
        <v>6000</v>
      </c>
      <c r="AU19" s="9">
        <v>1800</v>
      </c>
      <c r="AV19" s="9">
        <v>2000</v>
      </c>
      <c r="AW19" s="9"/>
      <c r="AX19" s="11"/>
      <c r="AY19" s="68">
        <v>7680</v>
      </c>
      <c r="AZ19" s="68">
        <v>15200</v>
      </c>
      <c r="BA19" s="68">
        <v>18000</v>
      </c>
      <c r="BB19" s="68">
        <v>1500</v>
      </c>
      <c r="BC19" s="68">
        <v>7500</v>
      </c>
      <c r="BD19" s="10"/>
      <c r="BE19" s="21"/>
      <c r="BF19" s="20"/>
      <c r="BG19" s="10"/>
      <c r="BH19" s="11"/>
      <c r="BI19" s="24"/>
      <c r="BJ19" s="31">
        <v>193190</v>
      </c>
      <c r="BL19" s="9">
        <v>800</v>
      </c>
      <c r="BM19" s="9">
        <v>4000</v>
      </c>
      <c r="BN19" s="9">
        <v>400</v>
      </c>
      <c r="BO19" s="9">
        <v>3500</v>
      </c>
      <c r="BP19" s="9">
        <v>500</v>
      </c>
      <c r="BQ19" s="9">
        <v>8000</v>
      </c>
      <c r="BR19" s="9"/>
      <c r="BS19" s="11"/>
      <c r="BT19" s="68">
        <v>6100</v>
      </c>
      <c r="BU19" s="68">
        <v>8170</v>
      </c>
      <c r="BV19" s="10"/>
      <c r="BW19" s="68">
        <v>8000</v>
      </c>
      <c r="BX19" s="68">
        <v>7000</v>
      </c>
      <c r="BY19" s="68">
        <v>4000</v>
      </c>
      <c r="BZ19" s="21"/>
      <c r="CA19" s="20" t="s">
        <v>6</v>
      </c>
      <c r="CB19" s="10">
        <v>1428000</v>
      </c>
      <c r="CC19" s="11"/>
      <c r="CD19" s="24"/>
      <c r="CE19" s="31">
        <v>96960</v>
      </c>
      <c r="CF19" s="31"/>
      <c r="CG19" s="9">
        <v>19000</v>
      </c>
      <c r="CH19" s="9">
        <v>1500</v>
      </c>
      <c r="CI19" s="9">
        <v>3000</v>
      </c>
      <c r="CJ19" s="9">
        <v>45000</v>
      </c>
      <c r="CK19" s="9">
        <v>9600</v>
      </c>
      <c r="CL19" s="9"/>
      <c r="CM19" s="9"/>
      <c r="CN19" s="11"/>
      <c r="CO19" s="68">
        <v>3840</v>
      </c>
      <c r="CP19" s="68">
        <v>700</v>
      </c>
      <c r="CQ19" s="10"/>
      <c r="CR19" s="68">
        <v>4500</v>
      </c>
      <c r="CS19" s="10"/>
      <c r="CT19" s="10"/>
      <c r="CU19" s="21"/>
      <c r="CV19" s="20"/>
      <c r="CW19" s="10"/>
      <c r="CX19" s="11"/>
      <c r="CY19" s="24"/>
      <c r="CZ19" s="31">
        <v>86000</v>
      </c>
    </row>
    <row r="20" ht="15" customHeight="1" spans="1:104">
      <c r="A20" s="9">
        <v>1500</v>
      </c>
      <c r="B20" s="9">
        <v>2000</v>
      </c>
      <c r="C20" s="9">
        <v>4000</v>
      </c>
      <c r="D20" s="9">
        <v>5000</v>
      </c>
      <c r="E20" s="9">
        <v>5500</v>
      </c>
      <c r="F20" s="9"/>
      <c r="G20" s="9"/>
      <c r="H20" s="11"/>
      <c r="I20" s="68">
        <v>2400</v>
      </c>
      <c r="J20" s="68">
        <v>1330</v>
      </c>
      <c r="K20" s="10"/>
      <c r="L20" s="68">
        <v>3500</v>
      </c>
      <c r="M20" s="68">
        <v>40000</v>
      </c>
      <c r="N20" s="68">
        <v>10000</v>
      </c>
      <c r="O20" s="21"/>
      <c r="P20" s="20"/>
      <c r="Q20" s="10"/>
      <c r="R20" s="11"/>
      <c r="S20" s="24"/>
      <c r="T20" s="31">
        <v>186620</v>
      </c>
      <c r="U20" s="24"/>
      <c r="V20" s="9">
        <v>6500</v>
      </c>
      <c r="W20" s="9">
        <v>15600</v>
      </c>
      <c r="X20" s="9">
        <v>25000</v>
      </c>
      <c r="Y20" s="9">
        <v>1000</v>
      </c>
      <c r="Z20" s="9">
        <v>5900</v>
      </c>
      <c r="AA20" s="9">
        <v>20000</v>
      </c>
      <c r="AB20" s="9">
        <v>300</v>
      </c>
      <c r="AC20" s="11"/>
      <c r="AD20" s="68">
        <v>46110</v>
      </c>
      <c r="AE20" s="68">
        <v>13930</v>
      </c>
      <c r="AF20" s="10"/>
      <c r="AG20" s="68">
        <v>35200</v>
      </c>
      <c r="AH20" s="68">
        <v>39500</v>
      </c>
      <c r="AI20" s="68">
        <v>9500</v>
      </c>
      <c r="AJ20" s="21"/>
      <c r="AK20" s="20"/>
      <c r="AL20" s="10"/>
      <c r="AM20" s="11"/>
      <c r="AN20" s="24"/>
      <c r="AO20" s="31"/>
      <c r="AQ20" s="9">
        <v>2500</v>
      </c>
      <c r="AR20" s="9">
        <v>5500</v>
      </c>
      <c r="AS20" s="9">
        <v>2200</v>
      </c>
      <c r="AT20" s="9">
        <v>2500</v>
      </c>
      <c r="AU20" s="9">
        <v>2000</v>
      </c>
      <c r="AV20" s="9">
        <v>17000</v>
      </c>
      <c r="AW20" s="9"/>
      <c r="AX20" s="11"/>
      <c r="AY20" s="68">
        <v>1380</v>
      </c>
      <c r="AZ20" s="68">
        <v>11070</v>
      </c>
      <c r="BA20" s="68">
        <v>5000</v>
      </c>
      <c r="BB20" s="68">
        <v>3500</v>
      </c>
      <c r="BC20" s="68">
        <v>25500</v>
      </c>
      <c r="BD20" s="10"/>
      <c r="BE20" s="21"/>
      <c r="BF20" s="20"/>
      <c r="BG20" s="10"/>
      <c r="BH20" s="11"/>
      <c r="BI20" s="24"/>
      <c r="BJ20" s="31">
        <v>30000</v>
      </c>
      <c r="BL20" s="9">
        <v>3000</v>
      </c>
      <c r="BM20" s="9">
        <v>6200</v>
      </c>
      <c r="BN20" s="9">
        <v>500</v>
      </c>
      <c r="BO20" s="9">
        <v>3500</v>
      </c>
      <c r="BP20" s="9">
        <v>1500</v>
      </c>
      <c r="BQ20" s="9">
        <v>4000</v>
      </c>
      <c r="BR20" s="9"/>
      <c r="BS20" s="11"/>
      <c r="BT20" s="68">
        <v>29100</v>
      </c>
      <c r="BU20" s="68">
        <v>4320</v>
      </c>
      <c r="BV20" s="10"/>
      <c r="BW20" s="68">
        <v>13500</v>
      </c>
      <c r="BX20" s="68">
        <v>1500</v>
      </c>
      <c r="BY20" s="68">
        <v>20500</v>
      </c>
      <c r="BZ20" s="21"/>
      <c r="CA20" s="20" t="s">
        <v>121</v>
      </c>
      <c r="CB20" s="10">
        <v>508680</v>
      </c>
      <c r="CC20" s="11"/>
      <c r="CD20" s="24"/>
      <c r="CE20" s="31">
        <v>300000</v>
      </c>
      <c r="CF20" s="24"/>
      <c r="CG20" s="9">
        <v>3000</v>
      </c>
      <c r="CH20" s="9">
        <v>1100</v>
      </c>
      <c r="CI20" s="9">
        <v>3300</v>
      </c>
      <c r="CJ20" s="9">
        <v>1000</v>
      </c>
      <c r="CK20" s="9">
        <v>1000</v>
      </c>
      <c r="CL20" s="9"/>
      <c r="CM20" s="9"/>
      <c r="CN20" s="11"/>
      <c r="CO20" s="68">
        <v>79600</v>
      </c>
      <c r="CP20" s="68">
        <v>2880</v>
      </c>
      <c r="CQ20" s="10"/>
      <c r="CR20" s="68">
        <v>1300</v>
      </c>
      <c r="CS20" s="10"/>
      <c r="CT20" s="10"/>
      <c r="CU20" s="21"/>
      <c r="CV20" s="20"/>
      <c r="CW20" s="10"/>
      <c r="CX20" s="11"/>
      <c r="CY20" s="24"/>
      <c r="CZ20" s="31">
        <v>56620</v>
      </c>
    </row>
    <row r="21" ht="15" customHeight="1" spans="1:104">
      <c r="A21" s="9">
        <v>100000</v>
      </c>
      <c r="B21" s="9">
        <v>1700</v>
      </c>
      <c r="C21" s="9">
        <v>4500</v>
      </c>
      <c r="D21" s="9">
        <v>9500</v>
      </c>
      <c r="E21" s="9">
        <v>800</v>
      </c>
      <c r="F21" s="9"/>
      <c r="G21" s="9"/>
      <c r="H21" s="11"/>
      <c r="I21" s="68">
        <v>25460</v>
      </c>
      <c r="J21" s="68">
        <v>4000</v>
      </c>
      <c r="K21" s="10"/>
      <c r="L21" s="68">
        <v>7000</v>
      </c>
      <c r="M21" s="68">
        <v>57000</v>
      </c>
      <c r="N21" s="68">
        <v>5000</v>
      </c>
      <c r="O21" s="21"/>
      <c r="P21" s="20"/>
      <c r="Q21" s="10"/>
      <c r="R21" s="11"/>
      <c r="S21" s="24"/>
      <c r="T21" s="31">
        <v>491100</v>
      </c>
      <c r="U21" s="24"/>
      <c r="V21" s="9">
        <v>2000</v>
      </c>
      <c r="W21" s="9">
        <v>7000</v>
      </c>
      <c r="X21" s="9">
        <v>5500</v>
      </c>
      <c r="Y21" s="9">
        <v>500</v>
      </c>
      <c r="Z21" s="9">
        <v>700</v>
      </c>
      <c r="AA21" s="9">
        <v>2600</v>
      </c>
      <c r="AB21" s="9">
        <v>2000</v>
      </c>
      <c r="AC21" s="11"/>
      <c r="AD21" s="68">
        <v>460</v>
      </c>
      <c r="AE21" s="68">
        <v>15000</v>
      </c>
      <c r="AF21" s="10"/>
      <c r="AG21" s="68">
        <v>4000</v>
      </c>
      <c r="AH21" s="68">
        <v>11000</v>
      </c>
      <c r="AI21" s="68">
        <v>6000</v>
      </c>
      <c r="AJ21" s="21"/>
      <c r="AK21" s="20"/>
      <c r="AL21" s="10"/>
      <c r="AM21" s="11"/>
      <c r="AN21" s="24"/>
      <c r="AO21" s="31"/>
      <c r="AQ21" s="9">
        <v>22100</v>
      </c>
      <c r="AR21" s="9">
        <v>300</v>
      </c>
      <c r="AS21" s="9">
        <v>2500</v>
      </c>
      <c r="AT21" s="9">
        <v>2500</v>
      </c>
      <c r="AU21" s="9">
        <v>40000</v>
      </c>
      <c r="AV21" s="9">
        <v>2500</v>
      </c>
      <c r="AW21" s="9"/>
      <c r="AX21" s="11"/>
      <c r="AY21" s="68">
        <v>6600</v>
      </c>
      <c r="AZ21" s="68">
        <v>6000</v>
      </c>
      <c r="BA21" s="68">
        <v>18000</v>
      </c>
      <c r="BB21" s="68">
        <v>60000</v>
      </c>
      <c r="BC21" s="68">
        <v>5300</v>
      </c>
      <c r="BD21" s="10"/>
      <c r="BE21" s="21"/>
      <c r="BF21" s="20"/>
      <c r="BG21" s="10"/>
      <c r="BH21" s="11"/>
      <c r="BI21" s="24"/>
      <c r="BJ21" s="31">
        <v>213440</v>
      </c>
      <c r="BL21" s="9">
        <v>15000</v>
      </c>
      <c r="BM21" s="9">
        <v>2000</v>
      </c>
      <c r="BN21" s="9">
        <v>800</v>
      </c>
      <c r="BO21" s="9">
        <v>800</v>
      </c>
      <c r="BP21" s="9">
        <v>1000</v>
      </c>
      <c r="BQ21" s="9">
        <v>5700</v>
      </c>
      <c r="BR21" s="9"/>
      <c r="BS21" s="11"/>
      <c r="BT21" s="68">
        <v>6100</v>
      </c>
      <c r="BU21" s="68">
        <v>7500</v>
      </c>
      <c r="BV21" s="10"/>
      <c r="BW21" s="68">
        <v>18500</v>
      </c>
      <c r="BX21" s="68">
        <v>2400</v>
      </c>
      <c r="BY21" s="68">
        <v>4000</v>
      </c>
      <c r="BZ21" s="21"/>
      <c r="CA21" s="20"/>
      <c r="CB21" s="10"/>
      <c r="CC21" s="11"/>
      <c r="CD21" s="24"/>
      <c r="CE21" s="31">
        <v>158000</v>
      </c>
      <c r="CF21" s="24"/>
      <c r="CG21" s="9">
        <v>2000</v>
      </c>
      <c r="CH21" s="9">
        <v>500</v>
      </c>
      <c r="CI21" s="9">
        <v>19000</v>
      </c>
      <c r="CJ21" s="9">
        <v>3500</v>
      </c>
      <c r="CK21" s="9">
        <v>8600</v>
      </c>
      <c r="CL21" s="9"/>
      <c r="CM21" s="9"/>
      <c r="CN21" s="11"/>
      <c r="CO21" s="68">
        <v>5760</v>
      </c>
      <c r="CP21" s="68">
        <v>4500</v>
      </c>
      <c r="CQ21" s="10"/>
      <c r="CR21" s="68">
        <v>6000</v>
      </c>
      <c r="CS21" s="10"/>
      <c r="CT21" s="10"/>
      <c r="CU21" s="21"/>
      <c r="CV21" s="20"/>
      <c r="CW21" s="10"/>
      <c r="CX21" s="11"/>
      <c r="CY21" s="24"/>
      <c r="CZ21" s="31"/>
    </row>
    <row r="22" ht="15.75" customHeight="1" spans="1:104">
      <c r="A22" s="9">
        <v>3500</v>
      </c>
      <c r="B22" s="9">
        <v>1300</v>
      </c>
      <c r="C22" s="9">
        <v>2500</v>
      </c>
      <c r="D22" s="9">
        <v>6300</v>
      </c>
      <c r="E22" s="9">
        <v>6500</v>
      </c>
      <c r="F22" s="9"/>
      <c r="G22" s="9"/>
      <c r="H22" s="11"/>
      <c r="I22" s="68">
        <v>4800</v>
      </c>
      <c r="J22" s="68">
        <v>11800</v>
      </c>
      <c r="K22" s="10"/>
      <c r="L22" s="68">
        <v>2000</v>
      </c>
      <c r="M22" s="68">
        <v>4000</v>
      </c>
      <c r="N22" s="10"/>
      <c r="O22" s="21"/>
      <c r="P22" s="20"/>
      <c r="Q22" s="10"/>
      <c r="R22" s="11"/>
      <c r="S22" s="24"/>
      <c r="T22" s="31">
        <v>110000</v>
      </c>
      <c r="U22" s="24"/>
      <c r="V22" s="9">
        <v>3500</v>
      </c>
      <c r="W22" s="9">
        <v>5800</v>
      </c>
      <c r="X22" s="9">
        <v>8000</v>
      </c>
      <c r="Y22" s="9">
        <v>11000</v>
      </c>
      <c r="Z22" s="9">
        <v>3000</v>
      </c>
      <c r="AA22" s="9">
        <v>4000</v>
      </c>
      <c r="AB22" s="9">
        <v>1000</v>
      </c>
      <c r="AC22" s="11"/>
      <c r="AD22" s="68">
        <v>11050</v>
      </c>
      <c r="AE22" s="68">
        <v>6000</v>
      </c>
      <c r="AF22" s="10"/>
      <c r="AG22" s="68">
        <v>32000</v>
      </c>
      <c r="AH22" s="68">
        <v>3000</v>
      </c>
      <c r="AI22" s="68">
        <v>5000</v>
      </c>
      <c r="AJ22" s="21"/>
      <c r="AK22" s="20"/>
      <c r="AL22" s="10"/>
      <c r="AM22" s="11"/>
      <c r="AN22" s="24"/>
      <c r="AO22" s="31"/>
      <c r="AQ22" s="9">
        <v>3000</v>
      </c>
      <c r="AR22" s="9">
        <v>5000</v>
      </c>
      <c r="AS22" s="9">
        <v>1500</v>
      </c>
      <c r="AT22" s="9">
        <v>4000</v>
      </c>
      <c r="AU22" s="9">
        <v>4950</v>
      </c>
      <c r="AV22" s="9">
        <v>5000</v>
      </c>
      <c r="AW22" s="9"/>
      <c r="AX22" s="11"/>
      <c r="AY22" s="68">
        <v>7500</v>
      </c>
      <c r="AZ22" s="68">
        <v>36500</v>
      </c>
      <c r="BA22" s="68">
        <v>11880</v>
      </c>
      <c r="BB22" s="68">
        <v>2000</v>
      </c>
      <c r="BC22" s="68">
        <v>3500</v>
      </c>
      <c r="BD22" s="10"/>
      <c r="BE22" s="21"/>
      <c r="BF22" s="20"/>
      <c r="BG22" s="10"/>
      <c r="BH22" s="11"/>
      <c r="BI22" s="24"/>
      <c r="BJ22" s="31">
        <v>235460</v>
      </c>
      <c r="BL22" s="9">
        <v>4000</v>
      </c>
      <c r="BM22" s="9">
        <v>9500</v>
      </c>
      <c r="BN22" s="9">
        <v>2000</v>
      </c>
      <c r="BO22" s="9">
        <v>1500</v>
      </c>
      <c r="BP22" s="9">
        <v>7800</v>
      </c>
      <c r="BQ22" s="9">
        <v>4000</v>
      </c>
      <c r="BR22" s="9"/>
      <c r="BS22" s="11"/>
      <c r="BT22" s="68">
        <v>13500</v>
      </c>
      <c r="BU22" s="68">
        <v>1380</v>
      </c>
      <c r="BV22" s="10"/>
      <c r="BW22" s="68">
        <v>24000</v>
      </c>
      <c r="BX22" s="68">
        <v>2000</v>
      </c>
      <c r="BY22" s="10"/>
      <c r="BZ22" s="21"/>
      <c r="CA22" s="20"/>
      <c r="CB22" s="10"/>
      <c r="CC22" s="11"/>
      <c r="CD22" s="24"/>
      <c r="CE22" s="31"/>
      <c r="CF22" s="24"/>
      <c r="CG22" s="9">
        <v>3000</v>
      </c>
      <c r="CH22" s="9">
        <v>1500</v>
      </c>
      <c r="CI22" s="9">
        <v>17000</v>
      </c>
      <c r="CJ22" s="9">
        <v>24000</v>
      </c>
      <c r="CK22" s="9">
        <v>4000</v>
      </c>
      <c r="CL22" s="9"/>
      <c r="CM22" s="9"/>
      <c r="CN22" s="11"/>
      <c r="CO22" s="68">
        <v>9500</v>
      </c>
      <c r="CP22" s="68">
        <v>1440</v>
      </c>
      <c r="CQ22" s="10"/>
      <c r="CR22" s="68">
        <v>2300</v>
      </c>
      <c r="CS22" s="10"/>
      <c r="CT22" s="10"/>
      <c r="CU22" s="21"/>
      <c r="CV22" s="20"/>
      <c r="CW22" s="10"/>
      <c r="CX22" s="11"/>
      <c r="CY22" s="24"/>
      <c r="CZ22" s="31"/>
    </row>
    <row r="23" spans="1:104">
      <c r="A23" s="9">
        <v>16000</v>
      </c>
      <c r="B23" s="9">
        <v>31000</v>
      </c>
      <c r="C23" s="9">
        <v>700</v>
      </c>
      <c r="D23" s="9">
        <v>1500</v>
      </c>
      <c r="E23" s="9">
        <v>5500</v>
      </c>
      <c r="F23" s="9"/>
      <c r="G23" s="9"/>
      <c r="H23" s="11"/>
      <c r="I23" s="68">
        <v>1500</v>
      </c>
      <c r="J23" s="68">
        <v>4710</v>
      </c>
      <c r="K23" s="10"/>
      <c r="L23" s="68">
        <v>5500</v>
      </c>
      <c r="M23" s="68">
        <v>8500</v>
      </c>
      <c r="N23" s="10"/>
      <c r="O23" s="21"/>
      <c r="P23" s="20"/>
      <c r="Q23" s="10"/>
      <c r="R23" s="11"/>
      <c r="S23" s="24"/>
      <c r="T23" s="31">
        <v>8000</v>
      </c>
      <c r="U23" s="24"/>
      <c r="V23" s="9">
        <v>25000</v>
      </c>
      <c r="W23" s="9">
        <v>4500</v>
      </c>
      <c r="X23" s="9">
        <v>7000</v>
      </c>
      <c r="Y23" s="9">
        <v>6500</v>
      </c>
      <c r="Z23" s="9">
        <v>2500</v>
      </c>
      <c r="AA23" s="9">
        <v>4500</v>
      </c>
      <c r="AB23" s="9"/>
      <c r="AC23" s="11"/>
      <c r="AD23" s="68">
        <v>2400</v>
      </c>
      <c r="AE23" s="68">
        <v>25000</v>
      </c>
      <c r="AF23" s="10"/>
      <c r="AG23" s="68">
        <v>39000</v>
      </c>
      <c r="AH23" s="68">
        <v>2500</v>
      </c>
      <c r="AI23" s="68">
        <v>14400</v>
      </c>
      <c r="AJ23" s="21"/>
      <c r="AK23" s="20"/>
      <c r="AL23" s="10"/>
      <c r="AM23" s="11"/>
      <c r="AN23" s="24"/>
      <c r="AO23" s="31"/>
      <c r="AQ23" s="9">
        <v>1000</v>
      </c>
      <c r="AR23" s="9">
        <v>25000</v>
      </c>
      <c r="AS23" s="9">
        <v>4300</v>
      </c>
      <c r="AT23" s="9">
        <v>4000</v>
      </c>
      <c r="AU23" s="9">
        <v>7500</v>
      </c>
      <c r="AV23" s="9">
        <v>4500</v>
      </c>
      <c r="AW23" s="9"/>
      <c r="AX23" s="11"/>
      <c r="AY23" s="68">
        <v>33000</v>
      </c>
      <c r="AZ23" s="68">
        <v>34500</v>
      </c>
      <c r="BA23" s="68">
        <v>2880</v>
      </c>
      <c r="BB23" s="68">
        <v>40000</v>
      </c>
      <c r="BC23" s="68">
        <v>7000</v>
      </c>
      <c r="BD23" s="10"/>
      <c r="BE23" s="21"/>
      <c r="BF23" s="20"/>
      <c r="BG23" s="10"/>
      <c r="BH23" s="11"/>
      <c r="BI23" s="24"/>
      <c r="BJ23" s="31">
        <v>97110</v>
      </c>
      <c r="BL23" s="9">
        <v>2000</v>
      </c>
      <c r="BM23" s="9">
        <v>1000</v>
      </c>
      <c r="BN23" s="9">
        <v>31100</v>
      </c>
      <c r="BO23" s="9">
        <v>5000</v>
      </c>
      <c r="BP23" s="9">
        <v>1400</v>
      </c>
      <c r="BQ23" s="9">
        <v>4000</v>
      </c>
      <c r="BR23" s="9"/>
      <c r="BS23" s="11"/>
      <c r="BT23" s="68">
        <v>4750</v>
      </c>
      <c r="BU23" s="68">
        <v>5770</v>
      </c>
      <c r="BV23" s="10"/>
      <c r="BW23" s="68">
        <v>13800</v>
      </c>
      <c r="BX23" s="68">
        <v>3000</v>
      </c>
      <c r="BY23" s="10"/>
      <c r="BZ23" s="21"/>
      <c r="CA23" s="20"/>
      <c r="CB23" s="10"/>
      <c r="CC23" s="11"/>
      <c r="CD23" s="24"/>
      <c r="CE23" s="31"/>
      <c r="CF23" s="24"/>
      <c r="CG23" s="9">
        <v>2000</v>
      </c>
      <c r="CH23" s="9">
        <v>18000</v>
      </c>
      <c r="CI23" s="9">
        <v>4000</v>
      </c>
      <c r="CJ23" s="9">
        <v>17000</v>
      </c>
      <c r="CK23" s="9">
        <v>1000</v>
      </c>
      <c r="CL23" s="9"/>
      <c r="CM23" s="9"/>
      <c r="CN23" s="11"/>
      <c r="CO23" s="68">
        <v>3360</v>
      </c>
      <c r="CP23" s="68">
        <v>5000</v>
      </c>
      <c r="CQ23" s="10"/>
      <c r="CR23" s="68">
        <v>6500</v>
      </c>
      <c r="CS23" s="10"/>
      <c r="CT23" s="10"/>
      <c r="CU23" s="21"/>
      <c r="CV23" s="20"/>
      <c r="CW23" s="10"/>
      <c r="CX23" s="11"/>
      <c r="CY23" s="24"/>
      <c r="CZ23" s="31"/>
    </row>
    <row r="24" spans="1:104">
      <c r="A24" s="9">
        <v>9500</v>
      </c>
      <c r="B24" s="9">
        <v>4000</v>
      </c>
      <c r="C24" s="9">
        <v>1500</v>
      </c>
      <c r="D24" s="9">
        <v>10000</v>
      </c>
      <c r="E24" s="9">
        <v>1800</v>
      </c>
      <c r="F24" s="9"/>
      <c r="G24" s="9"/>
      <c r="H24" s="11"/>
      <c r="I24" s="68">
        <v>10630</v>
      </c>
      <c r="J24" s="68">
        <v>20780</v>
      </c>
      <c r="K24" s="10"/>
      <c r="L24" s="68">
        <v>7000</v>
      </c>
      <c r="M24" s="68">
        <v>16000</v>
      </c>
      <c r="N24" s="10"/>
      <c r="O24" s="21"/>
      <c r="P24" s="20"/>
      <c r="Q24" s="10"/>
      <c r="R24" s="11"/>
      <c r="S24" s="24"/>
      <c r="T24" s="24"/>
      <c r="U24" s="24"/>
      <c r="V24" s="9">
        <v>200</v>
      </c>
      <c r="W24" s="9">
        <v>55000</v>
      </c>
      <c r="X24" s="9">
        <v>4000</v>
      </c>
      <c r="Y24" s="9">
        <v>12000</v>
      </c>
      <c r="Z24" s="9">
        <v>25000</v>
      </c>
      <c r="AA24" s="9">
        <v>23800</v>
      </c>
      <c r="AB24" s="9"/>
      <c r="AC24" s="11"/>
      <c r="AD24" s="68">
        <v>28500</v>
      </c>
      <c r="AE24" s="68">
        <v>66060</v>
      </c>
      <c r="AF24" s="10"/>
      <c r="AG24" s="68">
        <v>2500</v>
      </c>
      <c r="AH24" s="68">
        <v>4600</v>
      </c>
      <c r="AI24" s="68">
        <v>33500</v>
      </c>
      <c r="AJ24" s="21"/>
      <c r="AK24" s="20"/>
      <c r="AL24" s="10"/>
      <c r="AM24" s="11"/>
      <c r="AN24" s="24"/>
      <c r="AO24" s="24"/>
      <c r="AQ24" s="9">
        <v>7000</v>
      </c>
      <c r="AR24" s="9">
        <v>4000</v>
      </c>
      <c r="AS24" s="9">
        <v>6500</v>
      </c>
      <c r="AT24" s="9">
        <v>6000</v>
      </c>
      <c r="AU24" s="9">
        <v>2000</v>
      </c>
      <c r="AV24" s="9">
        <v>4500</v>
      </c>
      <c r="AW24" s="9"/>
      <c r="AX24" s="11"/>
      <c r="AY24" s="68">
        <v>2000</v>
      </c>
      <c r="AZ24" s="68">
        <v>9000</v>
      </c>
      <c r="BA24" s="68">
        <v>10600</v>
      </c>
      <c r="BB24" s="68">
        <v>2000</v>
      </c>
      <c r="BC24" s="68">
        <v>6900</v>
      </c>
      <c r="BD24" s="10"/>
      <c r="BE24" s="21"/>
      <c r="BF24" s="20"/>
      <c r="BG24" s="10"/>
      <c r="BH24" s="11"/>
      <c r="BI24" s="24"/>
      <c r="BJ24" s="24"/>
      <c r="BL24" s="9">
        <v>8500</v>
      </c>
      <c r="BM24" s="9">
        <v>1500</v>
      </c>
      <c r="BN24" s="9">
        <v>2000</v>
      </c>
      <c r="BO24" s="9">
        <v>4000</v>
      </c>
      <c r="BP24" s="9">
        <v>4300</v>
      </c>
      <c r="BQ24" s="9">
        <v>22500</v>
      </c>
      <c r="BR24" s="9"/>
      <c r="BS24" s="11"/>
      <c r="BT24" s="68">
        <v>6100</v>
      </c>
      <c r="BU24" s="68">
        <v>3840</v>
      </c>
      <c r="BV24" s="10"/>
      <c r="BW24" s="68">
        <v>21600</v>
      </c>
      <c r="BX24" s="68">
        <v>6000</v>
      </c>
      <c r="BY24" s="10"/>
      <c r="BZ24" s="21"/>
      <c r="CA24" s="20"/>
      <c r="CB24" s="10"/>
      <c r="CC24" s="11"/>
      <c r="CD24" s="24"/>
      <c r="CE24" s="24"/>
      <c r="CF24" s="24"/>
      <c r="CG24" s="9">
        <v>1500</v>
      </c>
      <c r="CH24" s="9">
        <v>2000</v>
      </c>
      <c r="CI24" s="9">
        <v>3800</v>
      </c>
      <c r="CJ24" s="9">
        <v>1500</v>
      </c>
      <c r="CK24" s="9"/>
      <c r="CL24" s="9"/>
      <c r="CM24" s="9"/>
      <c r="CN24" s="11"/>
      <c r="CO24" s="68">
        <v>6720</v>
      </c>
      <c r="CP24" s="68">
        <v>12000</v>
      </c>
      <c r="CQ24" s="10"/>
      <c r="CR24" s="68">
        <v>3800</v>
      </c>
      <c r="CS24" s="10"/>
      <c r="CT24" s="10"/>
      <c r="CU24" s="21"/>
      <c r="CV24" s="20"/>
      <c r="CW24" s="10"/>
      <c r="CX24" s="11"/>
      <c r="CY24" s="24"/>
      <c r="CZ24" s="24"/>
    </row>
    <row r="25" spans="1:104">
      <c r="A25" s="9">
        <v>2800</v>
      </c>
      <c r="B25" s="9">
        <v>2000</v>
      </c>
      <c r="C25" s="9">
        <v>1500</v>
      </c>
      <c r="D25" s="9">
        <v>3500</v>
      </c>
      <c r="E25" s="9">
        <v>14350</v>
      </c>
      <c r="F25" s="9"/>
      <c r="G25" s="9"/>
      <c r="H25" s="11"/>
      <c r="I25" s="68">
        <v>10000</v>
      </c>
      <c r="J25" s="68">
        <v>14410</v>
      </c>
      <c r="K25" s="10"/>
      <c r="L25" s="68">
        <v>8000</v>
      </c>
      <c r="M25" s="68">
        <v>22000</v>
      </c>
      <c r="N25" s="10"/>
      <c r="O25" s="21"/>
      <c r="P25" s="20"/>
      <c r="Q25" s="10"/>
      <c r="R25" s="11"/>
      <c r="S25" s="24"/>
      <c r="T25" s="24"/>
      <c r="U25" s="24"/>
      <c r="V25" s="9">
        <v>4000</v>
      </c>
      <c r="W25" s="9">
        <v>37000</v>
      </c>
      <c r="X25" s="9">
        <v>1000</v>
      </c>
      <c r="Y25" s="9">
        <v>5000</v>
      </c>
      <c r="Z25" s="9">
        <v>35600</v>
      </c>
      <c r="AA25" s="9">
        <v>5500</v>
      </c>
      <c r="AB25" s="9"/>
      <c r="AC25" s="11"/>
      <c r="AD25" s="68">
        <v>2100</v>
      </c>
      <c r="AE25" s="68">
        <v>1440</v>
      </c>
      <c r="AF25" s="10"/>
      <c r="AG25" s="68">
        <v>500</v>
      </c>
      <c r="AH25" s="68">
        <v>6000</v>
      </c>
      <c r="AI25" s="68">
        <v>6000</v>
      </c>
      <c r="AJ25" s="21"/>
      <c r="AK25" s="20"/>
      <c r="AL25" s="10"/>
      <c r="AM25" s="11"/>
      <c r="AN25" s="24"/>
      <c r="AO25" s="24"/>
      <c r="AQ25" s="9">
        <v>1500</v>
      </c>
      <c r="AR25" s="9">
        <v>4500</v>
      </c>
      <c r="AS25" s="9">
        <v>12000</v>
      </c>
      <c r="AT25" s="9">
        <v>6500</v>
      </c>
      <c r="AU25" s="9">
        <v>4000</v>
      </c>
      <c r="AV25" s="9">
        <v>4500</v>
      </c>
      <c r="AW25" s="9"/>
      <c r="AX25" s="11"/>
      <c r="AY25" s="68">
        <v>2000</v>
      </c>
      <c r="AZ25" s="68">
        <v>42000</v>
      </c>
      <c r="BA25" s="68">
        <v>21610</v>
      </c>
      <c r="BB25" s="68">
        <v>10000</v>
      </c>
      <c r="BC25" s="68">
        <v>25000</v>
      </c>
      <c r="BD25" s="10"/>
      <c r="BE25" s="21"/>
      <c r="BF25" s="20"/>
      <c r="BG25" s="10"/>
      <c r="BH25" s="11"/>
      <c r="BI25" s="24"/>
      <c r="BJ25" s="24"/>
      <c r="BL25" s="9">
        <v>400</v>
      </c>
      <c r="BM25" s="9">
        <v>5700</v>
      </c>
      <c r="BN25" s="9">
        <v>4000</v>
      </c>
      <c r="BO25" s="9">
        <v>5000</v>
      </c>
      <c r="BP25" s="9">
        <v>200</v>
      </c>
      <c r="BQ25" s="9">
        <v>5500</v>
      </c>
      <c r="BR25" s="9"/>
      <c r="BS25" s="11"/>
      <c r="BT25" s="68">
        <v>1500</v>
      </c>
      <c r="BU25" s="68">
        <v>960</v>
      </c>
      <c r="BV25" s="10"/>
      <c r="BW25" s="68">
        <v>16500</v>
      </c>
      <c r="BX25" s="68">
        <v>2000</v>
      </c>
      <c r="BY25" s="10"/>
      <c r="BZ25" s="21"/>
      <c r="CA25" s="20"/>
      <c r="CB25" s="10"/>
      <c r="CC25" s="11"/>
      <c r="CD25" s="24"/>
      <c r="CE25" s="24"/>
      <c r="CF25" s="24"/>
      <c r="CG25" s="9">
        <v>5000</v>
      </c>
      <c r="CH25" s="9">
        <v>5000</v>
      </c>
      <c r="CI25" s="9">
        <v>4500</v>
      </c>
      <c r="CJ25" s="9">
        <v>1500</v>
      </c>
      <c r="CK25" s="9"/>
      <c r="CL25" s="9"/>
      <c r="CM25" s="9"/>
      <c r="CN25" s="11"/>
      <c r="CO25" s="68">
        <v>13450</v>
      </c>
      <c r="CP25" s="68">
        <v>23560</v>
      </c>
      <c r="CQ25" s="10"/>
      <c r="CR25" s="68">
        <v>10000</v>
      </c>
      <c r="CS25" s="10"/>
      <c r="CT25" s="10"/>
      <c r="CU25" s="21"/>
      <c r="CV25" s="20"/>
      <c r="CW25" s="10"/>
      <c r="CX25" s="11"/>
      <c r="CY25" s="24"/>
      <c r="CZ25" s="24"/>
    </row>
    <row r="26" spans="1:104">
      <c r="A26" s="9">
        <v>6500</v>
      </c>
      <c r="B26" s="9">
        <v>5500</v>
      </c>
      <c r="C26" s="9">
        <v>1600</v>
      </c>
      <c r="D26" s="9">
        <v>2500</v>
      </c>
      <c r="E26" s="9">
        <v>9300</v>
      </c>
      <c r="F26" s="9"/>
      <c r="G26" s="9"/>
      <c r="H26" s="11"/>
      <c r="I26" s="68">
        <v>13000</v>
      </c>
      <c r="J26" s="68">
        <v>4800</v>
      </c>
      <c r="K26" s="10"/>
      <c r="L26" s="68">
        <v>7000</v>
      </c>
      <c r="M26" s="68">
        <v>2500</v>
      </c>
      <c r="N26" s="10"/>
      <c r="O26" s="21"/>
      <c r="P26" s="20"/>
      <c r="Q26" s="10"/>
      <c r="R26" s="11"/>
      <c r="S26" s="24"/>
      <c r="T26" s="24"/>
      <c r="U26" s="24"/>
      <c r="V26" s="9">
        <v>29500</v>
      </c>
      <c r="W26" s="9">
        <v>2500</v>
      </c>
      <c r="X26" s="9">
        <v>10000</v>
      </c>
      <c r="Y26" s="9">
        <v>4000</v>
      </c>
      <c r="Z26" s="9">
        <v>3000</v>
      </c>
      <c r="AA26" s="9">
        <v>600</v>
      </c>
      <c r="AB26" s="9"/>
      <c r="AC26" s="11"/>
      <c r="AD26" s="68">
        <v>7690</v>
      </c>
      <c r="AE26" s="68">
        <v>3050</v>
      </c>
      <c r="AF26" s="10"/>
      <c r="AG26" s="68">
        <v>23200</v>
      </c>
      <c r="AH26" s="68">
        <v>5500</v>
      </c>
      <c r="AI26" s="68">
        <v>32900</v>
      </c>
      <c r="AJ26" s="21"/>
      <c r="AK26" s="20"/>
      <c r="AL26" s="10"/>
      <c r="AM26" s="11"/>
      <c r="AN26" s="24"/>
      <c r="AO26" s="24"/>
      <c r="AQ26" s="9">
        <v>12000</v>
      </c>
      <c r="AR26" s="9">
        <v>2300</v>
      </c>
      <c r="AS26" s="9">
        <v>12700</v>
      </c>
      <c r="AT26" s="9">
        <v>11000</v>
      </c>
      <c r="AU26" s="9">
        <v>5000</v>
      </c>
      <c r="AV26" s="9">
        <v>5000</v>
      </c>
      <c r="AW26" s="9"/>
      <c r="AX26" s="11"/>
      <c r="AY26" s="68">
        <v>4850</v>
      </c>
      <c r="AZ26" s="68">
        <v>13500</v>
      </c>
      <c r="BA26" s="68">
        <v>6000</v>
      </c>
      <c r="BB26" s="68">
        <v>2400</v>
      </c>
      <c r="BC26" s="68">
        <v>3500</v>
      </c>
      <c r="BD26" s="10"/>
      <c r="BE26" s="21"/>
      <c r="BF26" s="20"/>
      <c r="BG26" s="10"/>
      <c r="BH26" s="11"/>
      <c r="BI26" s="24"/>
      <c r="BJ26" s="24"/>
      <c r="BL26" s="9">
        <v>2500</v>
      </c>
      <c r="BM26" s="9">
        <v>2000</v>
      </c>
      <c r="BN26" s="9">
        <v>13000</v>
      </c>
      <c r="BO26" s="9">
        <v>10000</v>
      </c>
      <c r="BP26" s="9">
        <v>1000</v>
      </c>
      <c r="BQ26" s="9">
        <v>3500</v>
      </c>
      <c r="BR26" s="9"/>
      <c r="BS26" s="11"/>
      <c r="BT26" s="68">
        <v>2400</v>
      </c>
      <c r="BU26" s="68">
        <v>3360</v>
      </c>
      <c r="BV26" s="10"/>
      <c r="BW26" s="68">
        <v>5000</v>
      </c>
      <c r="BX26" s="68">
        <v>7000</v>
      </c>
      <c r="BY26" s="10"/>
      <c r="BZ26" s="21"/>
      <c r="CA26" s="20"/>
      <c r="CB26" s="10"/>
      <c r="CC26" s="11"/>
      <c r="CD26" s="24"/>
      <c r="CE26" s="24"/>
      <c r="CF26" s="24"/>
      <c r="CG26" s="9">
        <v>5000</v>
      </c>
      <c r="CH26" s="9">
        <v>2200</v>
      </c>
      <c r="CI26" s="9">
        <v>1500</v>
      </c>
      <c r="CJ26" s="9">
        <v>13700</v>
      </c>
      <c r="CK26" s="9"/>
      <c r="CL26" s="9"/>
      <c r="CM26" s="9"/>
      <c r="CN26" s="11"/>
      <c r="CO26" s="68">
        <v>6930</v>
      </c>
      <c r="CP26" s="68">
        <v>34100</v>
      </c>
      <c r="CQ26" s="10"/>
      <c r="CR26" s="68">
        <v>14000</v>
      </c>
      <c r="CS26" s="10"/>
      <c r="CT26" s="10"/>
      <c r="CU26" s="21"/>
      <c r="CV26" s="20"/>
      <c r="CW26" s="10"/>
      <c r="CX26" s="11"/>
      <c r="CY26" s="24"/>
      <c r="CZ26" s="24"/>
    </row>
    <row r="27" spans="1:104">
      <c r="A27" s="9">
        <v>10000</v>
      </c>
      <c r="B27" s="9">
        <v>1900</v>
      </c>
      <c r="C27" s="9">
        <v>2000</v>
      </c>
      <c r="D27" s="9">
        <v>4000</v>
      </c>
      <c r="E27" s="9">
        <v>2200</v>
      </c>
      <c r="F27" s="9"/>
      <c r="G27" s="9"/>
      <c r="H27" s="11"/>
      <c r="I27" s="68">
        <v>8100</v>
      </c>
      <c r="J27" s="68">
        <v>2000</v>
      </c>
      <c r="K27" s="10"/>
      <c r="L27" s="68">
        <v>25000</v>
      </c>
      <c r="M27" s="68">
        <v>3500</v>
      </c>
      <c r="N27" s="10"/>
      <c r="O27" s="21"/>
      <c r="P27" s="20"/>
      <c r="Q27" s="10"/>
      <c r="R27" s="11"/>
      <c r="S27" s="24"/>
      <c r="T27" s="24"/>
      <c r="U27" s="24"/>
      <c r="V27" s="9">
        <v>2000</v>
      </c>
      <c r="W27" s="9">
        <v>700</v>
      </c>
      <c r="X27" s="9">
        <v>3200</v>
      </c>
      <c r="Y27" s="9">
        <v>1600</v>
      </c>
      <c r="Z27" s="9">
        <v>9000</v>
      </c>
      <c r="AA27" s="9">
        <v>2400</v>
      </c>
      <c r="AB27" s="9"/>
      <c r="AC27" s="11"/>
      <c r="AD27" s="68">
        <v>1000</v>
      </c>
      <c r="AE27" s="68">
        <v>1730</v>
      </c>
      <c r="AF27" s="10"/>
      <c r="AG27" s="68">
        <v>9500</v>
      </c>
      <c r="AH27" s="68">
        <v>900</v>
      </c>
      <c r="AI27" s="68">
        <v>3000</v>
      </c>
      <c r="AJ27" s="21"/>
      <c r="AK27" s="20"/>
      <c r="AL27" s="10"/>
      <c r="AM27" s="11"/>
      <c r="AN27" s="24"/>
      <c r="AO27" s="24"/>
      <c r="AQ27" s="9">
        <v>1000</v>
      </c>
      <c r="AR27" s="9">
        <v>55000</v>
      </c>
      <c r="AS27" s="9">
        <v>3000</v>
      </c>
      <c r="AT27" s="9">
        <v>2500</v>
      </c>
      <c r="AU27" s="9">
        <v>1500</v>
      </c>
      <c r="AV27" s="9">
        <v>6000</v>
      </c>
      <c r="AW27" s="9"/>
      <c r="AX27" s="11"/>
      <c r="AY27" s="68">
        <v>2500</v>
      </c>
      <c r="AZ27" s="68">
        <v>60000</v>
      </c>
      <c r="BA27" s="68">
        <v>5700</v>
      </c>
      <c r="BB27" s="68">
        <v>1000</v>
      </c>
      <c r="BC27" s="68">
        <v>4500</v>
      </c>
      <c r="BD27" s="10"/>
      <c r="BE27" s="21"/>
      <c r="BF27" s="20"/>
      <c r="BG27" s="10"/>
      <c r="BH27" s="11"/>
      <c r="BI27" s="24"/>
      <c r="BJ27" s="24"/>
      <c r="BL27" s="9">
        <v>8600</v>
      </c>
      <c r="BM27" s="9">
        <v>6000</v>
      </c>
      <c r="BN27" s="9">
        <v>1800</v>
      </c>
      <c r="BO27" s="9">
        <v>2000</v>
      </c>
      <c r="BP27" s="9">
        <v>6000</v>
      </c>
      <c r="BQ27" s="9">
        <v>3000</v>
      </c>
      <c r="BR27" s="9"/>
      <c r="BS27" s="11"/>
      <c r="BT27" s="68">
        <v>4800</v>
      </c>
      <c r="BU27" s="68">
        <v>6000</v>
      </c>
      <c r="BV27" s="10"/>
      <c r="BW27" s="68">
        <v>6000</v>
      </c>
      <c r="BX27" s="68">
        <v>1200</v>
      </c>
      <c r="BY27" s="10"/>
      <c r="BZ27" s="21"/>
      <c r="CA27" s="20"/>
      <c r="CB27" s="10"/>
      <c r="CC27" s="11"/>
      <c r="CD27" s="24"/>
      <c r="CE27" s="24"/>
      <c r="CF27" s="24"/>
      <c r="CG27" s="9">
        <v>3000</v>
      </c>
      <c r="CH27" s="9">
        <v>6000</v>
      </c>
      <c r="CI27" s="9">
        <v>32000</v>
      </c>
      <c r="CJ27" s="9">
        <v>200</v>
      </c>
      <c r="CK27" s="9"/>
      <c r="CL27" s="9"/>
      <c r="CM27" s="9"/>
      <c r="CN27" s="11"/>
      <c r="CO27" s="68">
        <v>2000</v>
      </c>
      <c r="CP27" s="68">
        <v>10280</v>
      </c>
      <c r="CQ27" s="10"/>
      <c r="CR27" s="68">
        <v>7000</v>
      </c>
      <c r="CS27" s="10"/>
      <c r="CT27" s="10"/>
      <c r="CU27" s="21"/>
      <c r="CV27" s="20"/>
      <c r="CW27" s="10"/>
      <c r="CX27" s="11"/>
      <c r="CY27" s="24"/>
      <c r="CZ27" s="24"/>
    </row>
    <row r="28" spans="1:104">
      <c r="A28" s="9">
        <v>11500</v>
      </c>
      <c r="B28" s="9">
        <v>5000</v>
      </c>
      <c r="C28" s="9">
        <v>10000</v>
      </c>
      <c r="D28" s="9">
        <v>15000</v>
      </c>
      <c r="E28" s="9">
        <v>4500</v>
      </c>
      <c r="F28" s="9"/>
      <c r="G28" s="9"/>
      <c r="H28" s="11"/>
      <c r="I28" s="68">
        <v>7480</v>
      </c>
      <c r="J28" s="10"/>
      <c r="K28" s="10"/>
      <c r="L28" s="68">
        <v>30000</v>
      </c>
      <c r="M28" s="68">
        <v>24000</v>
      </c>
      <c r="N28" s="10"/>
      <c r="O28" s="21"/>
      <c r="P28" s="20"/>
      <c r="Q28" s="10"/>
      <c r="R28" s="11"/>
      <c r="S28" s="24"/>
      <c r="T28" s="34"/>
      <c r="U28" s="24"/>
      <c r="V28" s="9">
        <v>1600</v>
      </c>
      <c r="W28" s="9">
        <v>12000</v>
      </c>
      <c r="X28" s="9">
        <v>11500</v>
      </c>
      <c r="Y28" s="9">
        <v>11200</v>
      </c>
      <c r="Z28" s="9">
        <v>5000</v>
      </c>
      <c r="AA28" s="9">
        <v>12500</v>
      </c>
      <c r="AB28" s="9"/>
      <c r="AC28" s="11"/>
      <c r="AD28" s="68">
        <v>5770</v>
      </c>
      <c r="AE28" s="68">
        <v>24000</v>
      </c>
      <c r="AF28" s="10"/>
      <c r="AG28" s="68">
        <v>6500</v>
      </c>
      <c r="AH28" s="68">
        <v>73000</v>
      </c>
      <c r="AI28" s="68">
        <v>5000</v>
      </c>
      <c r="AJ28" s="21"/>
      <c r="AK28" s="20"/>
      <c r="AL28" s="10"/>
      <c r="AM28" s="11"/>
      <c r="AN28" s="24"/>
      <c r="AO28" s="34"/>
      <c r="AQ28" s="9">
        <v>3000</v>
      </c>
      <c r="AR28" s="9">
        <v>6500</v>
      </c>
      <c r="AS28" s="9">
        <v>500</v>
      </c>
      <c r="AT28" s="9">
        <v>10000</v>
      </c>
      <c r="AU28" s="9">
        <v>10000</v>
      </c>
      <c r="AV28" s="9"/>
      <c r="AW28" s="9"/>
      <c r="AX28" s="11"/>
      <c r="AY28" s="68">
        <v>32000</v>
      </c>
      <c r="AZ28" s="68">
        <v>9500</v>
      </c>
      <c r="BA28" s="68">
        <v>7010</v>
      </c>
      <c r="BB28" s="68">
        <v>3500</v>
      </c>
      <c r="BC28" s="68">
        <v>6000</v>
      </c>
      <c r="BD28" s="10"/>
      <c r="BE28" s="21"/>
      <c r="BF28" s="20" t="s">
        <v>50</v>
      </c>
      <c r="BG28" s="10">
        <v>50000</v>
      </c>
      <c r="BH28" s="11"/>
      <c r="BI28" s="24"/>
      <c r="BJ28" s="34"/>
      <c r="BL28" s="9">
        <v>4000</v>
      </c>
      <c r="BM28" s="9">
        <v>13000</v>
      </c>
      <c r="BN28" s="9">
        <v>15000</v>
      </c>
      <c r="BO28" s="9">
        <v>4500</v>
      </c>
      <c r="BP28" s="9">
        <v>600</v>
      </c>
      <c r="BQ28" s="9">
        <v>4900</v>
      </c>
      <c r="BR28" s="9"/>
      <c r="BS28" s="11"/>
      <c r="BT28" s="68">
        <v>11530</v>
      </c>
      <c r="BU28" s="68">
        <v>7690</v>
      </c>
      <c r="BV28" s="10"/>
      <c r="BW28" s="68">
        <v>56000</v>
      </c>
      <c r="BX28" s="68">
        <v>8500</v>
      </c>
      <c r="BY28" s="10"/>
      <c r="BZ28" s="21"/>
      <c r="CA28" s="20"/>
      <c r="CB28" s="10"/>
      <c r="CC28" s="11"/>
      <c r="CD28" s="24"/>
      <c r="CE28" s="34"/>
      <c r="CF28" s="24"/>
      <c r="CG28" s="9">
        <v>3000</v>
      </c>
      <c r="CH28" s="9">
        <v>3000</v>
      </c>
      <c r="CI28" s="9">
        <v>10800</v>
      </c>
      <c r="CJ28" s="9">
        <v>5500</v>
      </c>
      <c r="CK28" s="9"/>
      <c r="CL28" s="9"/>
      <c r="CM28" s="9"/>
      <c r="CN28" s="11"/>
      <c r="CO28" s="68">
        <v>2100</v>
      </c>
      <c r="CP28" s="68">
        <v>7000</v>
      </c>
      <c r="CQ28" s="10"/>
      <c r="CR28" s="68">
        <v>9500</v>
      </c>
      <c r="CS28" s="10"/>
      <c r="CT28" s="10"/>
      <c r="CU28" s="21"/>
      <c r="CV28" s="20"/>
      <c r="CW28" s="10"/>
      <c r="CX28" s="11"/>
      <c r="CY28" s="24"/>
      <c r="CZ28" s="34"/>
    </row>
    <row r="29" spans="1:104">
      <c r="A29" s="9">
        <v>14500</v>
      </c>
      <c r="B29" s="9">
        <v>600</v>
      </c>
      <c r="C29" s="9">
        <v>3500</v>
      </c>
      <c r="D29" s="9">
        <v>1000</v>
      </c>
      <c r="E29" s="9">
        <v>9000</v>
      </c>
      <c r="F29" s="9"/>
      <c r="G29" s="9"/>
      <c r="H29" s="11"/>
      <c r="I29" s="68">
        <v>4800</v>
      </c>
      <c r="J29" s="10"/>
      <c r="K29" s="10"/>
      <c r="L29" s="68">
        <v>14500</v>
      </c>
      <c r="M29" s="68">
        <v>10800</v>
      </c>
      <c r="N29" s="10"/>
      <c r="O29" s="21"/>
      <c r="P29" s="20"/>
      <c r="Q29" s="10"/>
      <c r="R29" s="11"/>
      <c r="S29" s="24"/>
      <c r="T29" s="24"/>
      <c r="U29" s="24"/>
      <c r="V29" s="9">
        <v>12000</v>
      </c>
      <c r="W29" s="9">
        <v>300</v>
      </c>
      <c r="X29" s="9">
        <v>34000</v>
      </c>
      <c r="Y29" s="9">
        <v>300</v>
      </c>
      <c r="Z29" s="9">
        <v>8500</v>
      </c>
      <c r="AA29" s="9">
        <v>13000</v>
      </c>
      <c r="AB29" s="9"/>
      <c r="AC29" s="11"/>
      <c r="AD29" s="68">
        <v>900</v>
      </c>
      <c r="AE29" s="68">
        <v>3700</v>
      </c>
      <c r="AF29" s="10"/>
      <c r="AG29" s="68">
        <v>12000</v>
      </c>
      <c r="AH29" s="68">
        <v>3000</v>
      </c>
      <c r="AI29" s="68">
        <v>6900</v>
      </c>
      <c r="AJ29" s="21"/>
      <c r="AK29" s="20"/>
      <c r="AL29" s="10"/>
      <c r="AM29" s="11"/>
      <c r="AN29" s="24"/>
      <c r="AO29" s="24"/>
      <c r="AQ29" s="9">
        <v>600</v>
      </c>
      <c r="AR29" s="9">
        <v>3500</v>
      </c>
      <c r="AS29" s="9">
        <v>5000</v>
      </c>
      <c r="AT29" s="9">
        <v>19500</v>
      </c>
      <c r="AU29" s="9">
        <v>12000</v>
      </c>
      <c r="AV29" s="9"/>
      <c r="AW29" s="9"/>
      <c r="AX29" s="11"/>
      <c r="AY29" s="68">
        <v>4320</v>
      </c>
      <c r="AZ29" s="68">
        <v>23000</v>
      </c>
      <c r="BA29" s="68">
        <v>11500</v>
      </c>
      <c r="BB29" s="68">
        <v>7800</v>
      </c>
      <c r="BC29" s="68">
        <v>4500</v>
      </c>
      <c r="BD29" s="10"/>
      <c r="BE29" s="21"/>
      <c r="BF29" s="20" t="s">
        <v>50</v>
      </c>
      <c r="BG29" s="10">
        <v>250000</v>
      </c>
      <c r="BH29" s="11"/>
      <c r="BI29" s="24"/>
      <c r="BJ29" s="24"/>
      <c r="BL29" s="9">
        <v>1300</v>
      </c>
      <c r="BM29" s="9">
        <v>3000</v>
      </c>
      <c r="BN29" s="9">
        <v>6500</v>
      </c>
      <c r="BO29" s="9">
        <v>4000</v>
      </c>
      <c r="BP29" s="9">
        <v>2300</v>
      </c>
      <c r="BQ29" s="9">
        <v>1500</v>
      </c>
      <c r="BR29" s="9"/>
      <c r="BS29" s="11"/>
      <c r="BT29" s="68">
        <v>35000</v>
      </c>
      <c r="BU29" s="68">
        <v>14410</v>
      </c>
      <c r="BV29" s="10"/>
      <c r="BW29" s="68">
        <v>1500</v>
      </c>
      <c r="BX29" s="68">
        <v>14000</v>
      </c>
      <c r="BY29" s="10"/>
      <c r="BZ29" s="21"/>
      <c r="CA29" s="20"/>
      <c r="CB29" s="10"/>
      <c r="CC29" s="11"/>
      <c r="CD29" s="24"/>
      <c r="CE29" s="24"/>
      <c r="CF29" s="24"/>
      <c r="CG29" s="9">
        <v>6000</v>
      </c>
      <c r="CH29" s="9">
        <v>1500</v>
      </c>
      <c r="CI29" s="9">
        <v>17000</v>
      </c>
      <c r="CJ29" s="9">
        <v>3000</v>
      </c>
      <c r="CK29" s="9"/>
      <c r="CL29" s="9"/>
      <c r="CM29" s="9"/>
      <c r="CN29" s="11"/>
      <c r="CO29" s="68">
        <v>19000</v>
      </c>
      <c r="CP29" s="68">
        <v>34500</v>
      </c>
      <c r="CQ29" s="10"/>
      <c r="CR29" s="68">
        <v>12000</v>
      </c>
      <c r="CS29" s="10"/>
      <c r="CT29" s="10"/>
      <c r="CU29" s="21"/>
      <c r="CV29" s="20"/>
      <c r="CW29" s="10"/>
      <c r="CX29" s="11"/>
      <c r="CY29" s="24"/>
      <c r="CZ29" s="24"/>
    </row>
    <row r="30" spans="1:104">
      <c r="A30" s="9">
        <v>2000</v>
      </c>
      <c r="B30" s="9">
        <v>1600</v>
      </c>
      <c r="C30" s="9">
        <v>25000</v>
      </c>
      <c r="D30" s="9">
        <v>2500</v>
      </c>
      <c r="E30" s="9">
        <v>3500</v>
      </c>
      <c r="F30" s="9"/>
      <c r="G30" s="9"/>
      <c r="H30" s="11"/>
      <c r="I30" s="68">
        <v>6500</v>
      </c>
      <c r="J30" s="10"/>
      <c r="K30" s="10"/>
      <c r="L30" s="68">
        <v>20000</v>
      </c>
      <c r="M30" s="68">
        <v>16500</v>
      </c>
      <c r="N30" s="10"/>
      <c r="O30" s="21"/>
      <c r="P30" s="20"/>
      <c r="Q30" s="10"/>
      <c r="R30" s="11"/>
      <c r="S30" s="24"/>
      <c r="T30" s="24"/>
      <c r="U30" s="24"/>
      <c r="V30" s="9">
        <v>3800</v>
      </c>
      <c r="W30" s="9">
        <v>5000</v>
      </c>
      <c r="X30" s="9">
        <v>41000</v>
      </c>
      <c r="Y30" s="9">
        <v>2300</v>
      </c>
      <c r="Z30" s="9">
        <v>900</v>
      </c>
      <c r="AA30" s="9">
        <v>2300</v>
      </c>
      <c r="AB30" s="9"/>
      <c r="AC30" s="11"/>
      <c r="AD30" s="68">
        <v>3000</v>
      </c>
      <c r="AE30" s="68">
        <v>3500</v>
      </c>
      <c r="AF30" s="10"/>
      <c r="AG30" s="68">
        <v>1000</v>
      </c>
      <c r="AH30" s="68">
        <v>7000</v>
      </c>
      <c r="AI30" s="68">
        <v>5000</v>
      </c>
      <c r="AJ30" s="21"/>
      <c r="AK30" s="20"/>
      <c r="AL30" s="10"/>
      <c r="AM30" s="11"/>
      <c r="AN30" s="24"/>
      <c r="AO30" s="24"/>
      <c r="AQ30" s="9">
        <v>13500</v>
      </c>
      <c r="AR30" s="9">
        <v>10000</v>
      </c>
      <c r="AS30" s="9">
        <v>1500</v>
      </c>
      <c r="AT30" s="9">
        <v>6000</v>
      </c>
      <c r="AU30" s="9">
        <v>5000</v>
      </c>
      <c r="AV30" s="9"/>
      <c r="AW30" s="9"/>
      <c r="AX30" s="11"/>
      <c r="AY30" s="68">
        <v>41160</v>
      </c>
      <c r="AZ30" s="68">
        <v>12190</v>
      </c>
      <c r="BA30" s="68">
        <v>4500</v>
      </c>
      <c r="BB30" s="68">
        <v>25000</v>
      </c>
      <c r="BC30" s="68">
        <v>6000</v>
      </c>
      <c r="BD30" s="10"/>
      <c r="BE30" s="21"/>
      <c r="BF30" s="20" t="s">
        <v>53</v>
      </c>
      <c r="BG30" s="10">
        <v>300000</v>
      </c>
      <c r="BH30" s="11"/>
      <c r="BI30" s="24"/>
      <c r="BJ30" s="24"/>
      <c r="BL30" s="9">
        <v>10000</v>
      </c>
      <c r="BM30" s="9">
        <v>1200</v>
      </c>
      <c r="BN30" s="9">
        <v>4500</v>
      </c>
      <c r="BO30" s="9">
        <v>13000</v>
      </c>
      <c r="BP30" s="9">
        <v>6500</v>
      </c>
      <c r="BQ30" s="9">
        <v>16000</v>
      </c>
      <c r="BR30" s="9"/>
      <c r="BS30" s="11"/>
      <c r="BT30" s="68">
        <v>10500</v>
      </c>
      <c r="BU30" s="68">
        <v>14000</v>
      </c>
      <c r="BV30" s="10"/>
      <c r="BW30" s="68">
        <v>4000</v>
      </c>
      <c r="BX30" s="68">
        <v>8000</v>
      </c>
      <c r="BY30" s="10"/>
      <c r="BZ30" s="21"/>
      <c r="CA30" s="20" t="s">
        <v>53</v>
      </c>
      <c r="CB30" s="10">
        <v>40000</v>
      </c>
      <c r="CC30" s="11"/>
      <c r="CD30" s="24"/>
      <c r="CE30" s="24"/>
      <c r="CF30" s="24"/>
      <c r="CG30" s="9">
        <v>46000</v>
      </c>
      <c r="CH30" s="9">
        <v>10000</v>
      </c>
      <c r="CI30" s="9">
        <v>3500</v>
      </c>
      <c r="CJ30" s="9">
        <v>6400</v>
      </c>
      <c r="CK30" s="9"/>
      <c r="CL30" s="9"/>
      <c r="CM30" s="9"/>
      <c r="CN30" s="11"/>
      <c r="CO30" s="68">
        <v>10550</v>
      </c>
      <c r="CP30" s="68">
        <v>10000</v>
      </c>
      <c r="CQ30" s="10"/>
      <c r="CR30" s="68">
        <v>28000</v>
      </c>
      <c r="CS30" s="10"/>
      <c r="CT30" s="10"/>
      <c r="CU30" s="21"/>
      <c r="CV30" s="20"/>
      <c r="CW30" s="10"/>
      <c r="CX30" s="11"/>
      <c r="CY30" s="24"/>
      <c r="CZ30" s="24"/>
    </row>
    <row r="31" spans="1:104">
      <c r="A31" s="9">
        <v>50000</v>
      </c>
      <c r="B31" s="9">
        <v>3000</v>
      </c>
      <c r="C31" s="9">
        <v>900</v>
      </c>
      <c r="D31" s="9">
        <v>1000</v>
      </c>
      <c r="E31" s="9">
        <v>4500</v>
      </c>
      <c r="F31" s="9"/>
      <c r="G31" s="9"/>
      <c r="H31" s="11"/>
      <c r="I31" s="68">
        <v>11000</v>
      </c>
      <c r="J31" s="10"/>
      <c r="K31" s="10"/>
      <c r="L31" s="68">
        <v>62700</v>
      </c>
      <c r="M31" s="68">
        <v>8000</v>
      </c>
      <c r="N31" s="10"/>
      <c r="O31" s="21"/>
      <c r="P31" s="20"/>
      <c r="Q31" s="10"/>
      <c r="R31" s="11"/>
      <c r="S31" s="24"/>
      <c r="T31" s="24"/>
      <c r="U31" s="24"/>
      <c r="V31" s="9">
        <v>2500</v>
      </c>
      <c r="W31" s="9">
        <v>1000</v>
      </c>
      <c r="X31" s="9">
        <v>1600</v>
      </c>
      <c r="Y31" s="9">
        <v>4300</v>
      </c>
      <c r="Z31" s="9">
        <v>600</v>
      </c>
      <c r="AA31" s="9">
        <v>5000</v>
      </c>
      <c r="AB31" s="9"/>
      <c r="AC31" s="11"/>
      <c r="AD31" s="68">
        <v>1000</v>
      </c>
      <c r="AE31" s="68">
        <v>20000</v>
      </c>
      <c r="AF31" s="10"/>
      <c r="AG31" s="68">
        <v>320</v>
      </c>
      <c r="AH31" s="68">
        <v>1600</v>
      </c>
      <c r="AI31" s="68">
        <v>8000</v>
      </c>
      <c r="AJ31" s="21"/>
      <c r="AK31" s="20"/>
      <c r="AL31" s="10"/>
      <c r="AM31" s="11"/>
      <c r="AN31" s="24"/>
      <c r="AO31" s="24"/>
      <c r="AQ31" s="9">
        <v>15000</v>
      </c>
      <c r="AR31" s="9">
        <v>19000</v>
      </c>
      <c r="AS31" s="9">
        <v>1000</v>
      </c>
      <c r="AT31" s="9">
        <v>2500</v>
      </c>
      <c r="AU31" s="9">
        <v>1500</v>
      </c>
      <c r="AV31" s="9"/>
      <c r="AW31" s="9"/>
      <c r="AX31" s="11"/>
      <c r="AY31" s="68">
        <v>4000</v>
      </c>
      <c r="AZ31" s="68">
        <v>15240</v>
      </c>
      <c r="BA31" s="74">
        <v>65000</v>
      </c>
      <c r="BB31" s="68">
        <v>5000</v>
      </c>
      <c r="BC31" s="68">
        <v>8500</v>
      </c>
      <c r="BD31" s="10"/>
      <c r="BE31" s="21"/>
      <c r="BF31" s="20"/>
      <c r="BG31" s="10"/>
      <c r="BH31" s="11"/>
      <c r="BI31" s="24"/>
      <c r="BJ31" s="24"/>
      <c r="BL31" s="9">
        <v>3500</v>
      </c>
      <c r="BM31" s="9">
        <v>3200</v>
      </c>
      <c r="BN31" s="9">
        <v>3500</v>
      </c>
      <c r="BO31" s="9">
        <v>9500</v>
      </c>
      <c r="BP31" s="9">
        <v>5000</v>
      </c>
      <c r="BQ31" s="9">
        <v>4000</v>
      </c>
      <c r="BR31" s="9"/>
      <c r="BS31" s="11"/>
      <c r="BT31" s="68">
        <v>13450</v>
      </c>
      <c r="BU31" s="68">
        <v>5000</v>
      </c>
      <c r="BV31" s="10"/>
      <c r="BW31" s="68">
        <v>50000</v>
      </c>
      <c r="BX31" s="68">
        <v>3000</v>
      </c>
      <c r="BY31" s="10"/>
      <c r="BZ31" s="21"/>
      <c r="CA31" s="20" t="s">
        <v>53</v>
      </c>
      <c r="CB31" s="10">
        <v>260000</v>
      </c>
      <c r="CC31" s="11"/>
      <c r="CD31" s="24"/>
      <c r="CE31" s="24"/>
      <c r="CF31" s="24"/>
      <c r="CG31" s="9">
        <v>11200</v>
      </c>
      <c r="CH31" s="9">
        <v>5600</v>
      </c>
      <c r="CI31" s="9">
        <v>4800</v>
      </c>
      <c r="CJ31" s="9">
        <v>22500</v>
      </c>
      <c r="CK31" s="9"/>
      <c r="CL31" s="9"/>
      <c r="CM31" s="9"/>
      <c r="CN31" s="11"/>
      <c r="CO31" s="68">
        <v>20330</v>
      </c>
      <c r="CP31" s="68">
        <v>6500</v>
      </c>
      <c r="CQ31" s="10"/>
      <c r="CR31" s="68">
        <v>16500</v>
      </c>
      <c r="CS31" s="10"/>
      <c r="CT31" s="10"/>
      <c r="CU31" s="21"/>
      <c r="CV31" s="20"/>
      <c r="CW31" s="10"/>
      <c r="CX31" s="11"/>
      <c r="CY31" s="24"/>
      <c r="CZ31" s="24"/>
    </row>
    <row r="32" spans="1:104">
      <c r="A32" s="9">
        <v>4500</v>
      </c>
      <c r="B32" s="9">
        <v>5000</v>
      </c>
      <c r="C32" s="9">
        <v>95000</v>
      </c>
      <c r="D32" s="9">
        <v>1500</v>
      </c>
      <c r="E32" s="9">
        <v>3000</v>
      </c>
      <c r="F32" s="9"/>
      <c r="G32" s="9"/>
      <c r="H32" s="11"/>
      <c r="I32" s="68">
        <v>7690</v>
      </c>
      <c r="J32" s="10"/>
      <c r="K32" s="10"/>
      <c r="L32" s="68">
        <v>10500</v>
      </c>
      <c r="M32" s="68">
        <v>2500</v>
      </c>
      <c r="N32" s="10"/>
      <c r="O32" s="21"/>
      <c r="P32" s="20"/>
      <c r="Q32" s="10"/>
      <c r="R32" s="11"/>
      <c r="S32" s="24"/>
      <c r="T32" s="24"/>
      <c r="U32" s="24"/>
      <c r="V32" s="9">
        <v>16500</v>
      </c>
      <c r="W32" s="9">
        <v>5000</v>
      </c>
      <c r="X32" s="9">
        <v>40000</v>
      </c>
      <c r="Y32" s="9">
        <v>9000</v>
      </c>
      <c r="Z32" s="9">
        <v>2500</v>
      </c>
      <c r="AA32" s="9">
        <v>600</v>
      </c>
      <c r="AB32" s="9"/>
      <c r="AC32" s="11"/>
      <c r="AD32" s="68">
        <v>4000</v>
      </c>
      <c r="AE32" s="68">
        <v>7680</v>
      </c>
      <c r="AF32" s="10"/>
      <c r="AG32" s="68">
        <v>1000</v>
      </c>
      <c r="AH32" s="68">
        <v>9500</v>
      </c>
      <c r="AI32" s="68">
        <v>4500</v>
      </c>
      <c r="AJ32" s="21"/>
      <c r="AK32" s="20" t="s">
        <v>50</v>
      </c>
      <c r="AL32" s="10">
        <v>300000</v>
      </c>
      <c r="AM32" s="11"/>
      <c r="AN32" s="24"/>
      <c r="AO32" s="24"/>
      <c r="AQ32" s="9">
        <v>3000</v>
      </c>
      <c r="AR32" s="9">
        <v>3500</v>
      </c>
      <c r="AS32" s="9">
        <v>25000</v>
      </c>
      <c r="AT32" s="9">
        <v>3000</v>
      </c>
      <c r="AU32" s="9">
        <v>12500</v>
      </c>
      <c r="AV32" s="9"/>
      <c r="AW32" s="9"/>
      <c r="AX32" s="11"/>
      <c r="AY32" s="68">
        <v>19220</v>
      </c>
      <c r="AZ32" s="68">
        <v>14000</v>
      </c>
      <c r="BA32" s="68">
        <v>37500</v>
      </c>
      <c r="BB32" s="68">
        <v>3000</v>
      </c>
      <c r="BC32" s="10"/>
      <c r="BD32" s="10"/>
      <c r="BE32" s="21"/>
      <c r="BF32" s="20"/>
      <c r="BG32" s="10"/>
      <c r="BH32" s="11"/>
      <c r="BI32" s="24"/>
      <c r="BJ32" s="24"/>
      <c r="BL32" s="9">
        <v>1500</v>
      </c>
      <c r="BM32" s="9">
        <v>1500</v>
      </c>
      <c r="BN32" s="9">
        <v>15000</v>
      </c>
      <c r="BO32" s="9">
        <v>1500</v>
      </c>
      <c r="BP32" s="9">
        <v>6500</v>
      </c>
      <c r="BQ32" s="9">
        <v>7000</v>
      </c>
      <c r="BR32" s="9"/>
      <c r="BS32" s="11"/>
      <c r="BT32" s="68">
        <v>37950</v>
      </c>
      <c r="BU32" s="68">
        <v>2770</v>
      </c>
      <c r="BV32" s="10"/>
      <c r="BW32" s="68">
        <v>8500</v>
      </c>
      <c r="BX32" s="68">
        <v>30000</v>
      </c>
      <c r="BY32" s="10"/>
      <c r="BZ32" s="21"/>
      <c r="CA32" s="20" t="s">
        <v>50</v>
      </c>
      <c r="CB32" s="10">
        <v>300000</v>
      </c>
      <c r="CC32" s="11"/>
      <c r="CD32" s="24"/>
      <c r="CE32" s="24"/>
      <c r="CF32" s="24"/>
      <c r="CG32" s="9">
        <v>2000</v>
      </c>
      <c r="CH32" s="9">
        <v>1000</v>
      </c>
      <c r="CI32" s="9">
        <v>12000</v>
      </c>
      <c r="CJ32" s="9">
        <v>4000</v>
      </c>
      <c r="CK32" s="9"/>
      <c r="CL32" s="9"/>
      <c r="CM32" s="9"/>
      <c r="CN32" s="11"/>
      <c r="CO32" s="68">
        <v>30360</v>
      </c>
      <c r="CP32" s="68">
        <v>2110</v>
      </c>
      <c r="CQ32" s="10"/>
      <c r="CR32" s="68">
        <v>2500</v>
      </c>
      <c r="CS32" s="10"/>
      <c r="CT32" s="10"/>
      <c r="CU32" s="21"/>
      <c r="CV32" s="20" t="s">
        <v>50</v>
      </c>
      <c r="CW32" s="10">
        <v>300000</v>
      </c>
      <c r="CX32" s="11"/>
      <c r="CY32" s="24"/>
      <c r="CZ32" s="24"/>
    </row>
    <row r="33" spans="1:104">
      <c r="A33" s="9">
        <v>3500</v>
      </c>
      <c r="B33" s="9">
        <v>11500</v>
      </c>
      <c r="C33" s="9">
        <v>22000</v>
      </c>
      <c r="D33" s="9">
        <v>2500</v>
      </c>
      <c r="E33" s="9">
        <v>950</v>
      </c>
      <c r="F33" s="9"/>
      <c r="G33" s="9"/>
      <c r="H33" s="11"/>
      <c r="I33" s="68">
        <v>3840</v>
      </c>
      <c r="J33" s="10"/>
      <c r="K33" s="10"/>
      <c r="L33" s="68">
        <v>48500</v>
      </c>
      <c r="M33" s="68">
        <v>1500</v>
      </c>
      <c r="N33" s="10"/>
      <c r="O33" s="21"/>
      <c r="P33" s="20"/>
      <c r="Q33" s="10"/>
      <c r="R33" s="11"/>
      <c r="S33" s="24"/>
      <c r="T33" s="24"/>
      <c r="U33" s="24"/>
      <c r="V33" s="9">
        <v>25500</v>
      </c>
      <c r="W33" s="9">
        <v>10000</v>
      </c>
      <c r="X33" s="9">
        <v>3000</v>
      </c>
      <c r="Y33" s="9">
        <v>1200</v>
      </c>
      <c r="Z33" s="9">
        <v>800</v>
      </c>
      <c r="AA33" s="9">
        <v>5500</v>
      </c>
      <c r="AB33" s="9"/>
      <c r="AC33" s="11"/>
      <c r="AD33" s="68">
        <v>16300</v>
      </c>
      <c r="AE33" s="68">
        <v>2500</v>
      </c>
      <c r="AF33" s="10"/>
      <c r="AG33" s="68">
        <v>4000</v>
      </c>
      <c r="AH33" s="68">
        <v>10300</v>
      </c>
      <c r="AI33" s="68">
        <v>2500</v>
      </c>
      <c r="AJ33" s="21"/>
      <c r="AK33" s="20" t="s">
        <v>53</v>
      </c>
      <c r="AL33" s="10">
        <v>300000</v>
      </c>
      <c r="AM33" s="11"/>
      <c r="AN33" s="24"/>
      <c r="AO33" s="24"/>
      <c r="AQ33" s="9">
        <v>6500</v>
      </c>
      <c r="AR33" s="9">
        <v>3000</v>
      </c>
      <c r="AS33" s="9">
        <v>31000</v>
      </c>
      <c r="AT33" s="9">
        <v>5000</v>
      </c>
      <c r="AU33" s="9">
        <v>6000</v>
      </c>
      <c r="AV33" s="9"/>
      <c r="AW33" s="9"/>
      <c r="AX33" s="11"/>
      <c r="AY33" s="68">
        <v>12580</v>
      </c>
      <c r="AZ33" s="68">
        <v>3000</v>
      </c>
      <c r="BA33" s="68">
        <v>7430</v>
      </c>
      <c r="BB33" s="68">
        <v>16000</v>
      </c>
      <c r="BC33" s="10"/>
      <c r="BD33" s="10"/>
      <c r="BE33" s="21"/>
      <c r="BF33" s="20"/>
      <c r="BG33" s="10"/>
      <c r="BH33" s="11"/>
      <c r="BI33" s="24"/>
      <c r="BJ33" s="24"/>
      <c r="BL33" s="9">
        <v>7500</v>
      </c>
      <c r="BM33" s="9">
        <v>1500</v>
      </c>
      <c r="BN33" s="9">
        <v>10000</v>
      </c>
      <c r="BO33" s="9">
        <v>3500</v>
      </c>
      <c r="BP33" s="9">
        <v>1300</v>
      </c>
      <c r="BQ33" s="9">
        <v>1500</v>
      </c>
      <c r="BR33" s="9"/>
      <c r="BS33" s="11"/>
      <c r="BT33" s="68">
        <v>7110</v>
      </c>
      <c r="BU33" s="68">
        <v>2400</v>
      </c>
      <c r="BV33" s="10"/>
      <c r="BW33" s="68">
        <v>30000</v>
      </c>
      <c r="BX33" s="68">
        <v>6900</v>
      </c>
      <c r="BY33" s="10"/>
      <c r="BZ33" s="21"/>
      <c r="CA33" s="20"/>
      <c r="CB33" s="10"/>
      <c r="CC33" s="11"/>
      <c r="CD33" s="24"/>
      <c r="CE33" s="24"/>
      <c r="CF33" s="24"/>
      <c r="CG33" s="9">
        <v>5500</v>
      </c>
      <c r="CH33" s="9">
        <v>2000</v>
      </c>
      <c r="CI33" s="9">
        <v>4500</v>
      </c>
      <c r="CJ33" s="9">
        <v>2500</v>
      </c>
      <c r="CK33" s="9"/>
      <c r="CL33" s="9"/>
      <c r="CM33" s="9"/>
      <c r="CN33" s="11"/>
      <c r="CO33" s="68">
        <v>10160</v>
      </c>
      <c r="CP33" s="68">
        <v>6700</v>
      </c>
      <c r="CQ33" s="10"/>
      <c r="CR33" s="68">
        <v>2500</v>
      </c>
      <c r="CS33" s="10"/>
      <c r="CT33" s="10"/>
      <c r="CU33" s="21"/>
      <c r="CV33" s="20" t="s">
        <v>53</v>
      </c>
      <c r="CW33" s="10">
        <v>300000</v>
      </c>
      <c r="CX33" s="11"/>
      <c r="CY33" s="24"/>
      <c r="CZ33" s="24"/>
    </row>
    <row r="34" spans="1:104">
      <c r="A34" s="9">
        <v>5000</v>
      </c>
      <c r="B34" s="9">
        <v>2500</v>
      </c>
      <c r="C34" s="9">
        <v>1000</v>
      </c>
      <c r="D34" s="9">
        <v>20300</v>
      </c>
      <c r="E34" s="9">
        <v>800</v>
      </c>
      <c r="F34" s="9"/>
      <c r="G34" s="9"/>
      <c r="H34" s="11"/>
      <c r="I34" s="68">
        <v>22380</v>
      </c>
      <c r="J34" s="10"/>
      <c r="K34" s="10"/>
      <c r="L34" s="68">
        <v>5000</v>
      </c>
      <c r="M34" s="68">
        <v>2500</v>
      </c>
      <c r="N34" s="10"/>
      <c r="O34" s="21"/>
      <c r="P34" s="20"/>
      <c r="Q34" s="10"/>
      <c r="R34" s="11"/>
      <c r="S34" s="24"/>
      <c r="T34" s="34"/>
      <c r="U34" s="24"/>
      <c r="V34" s="9">
        <v>1600</v>
      </c>
      <c r="W34" s="9">
        <v>3500</v>
      </c>
      <c r="X34" s="9">
        <v>7500</v>
      </c>
      <c r="Y34" s="9">
        <v>600</v>
      </c>
      <c r="Z34" s="9">
        <v>3500</v>
      </c>
      <c r="AA34" s="9">
        <v>10000</v>
      </c>
      <c r="AB34" s="9"/>
      <c r="AC34" s="11"/>
      <c r="AD34" s="68">
        <v>9140</v>
      </c>
      <c r="AE34" s="68">
        <v>2300</v>
      </c>
      <c r="AF34" s="10"/>
      <c r="AG34" s="68">
        <v>5600</v>
      </c>
      <c r="AH34" s="68">
        <v>10500</v>
      </c>
      <c r="AI34" s="10"/>
      <c r="AJ34" s="21"/>
      <c r="AK34" s="20"/>
      <c r="AL34" s="10"/>
      <c r="AM34" s="11"/>
      <c r="AN34" s="24"/>
      <c r="AO34" s="34"/>
      <c r="AQ34" s="9">
        <v>8500</v>
      </c>
      <c r="AR34" s="9">
        <v>1000</v>
      </c>
      <c r="AS34" s="9">
        <v>5500</v>
      </c>
      <c r="AT34" s="9">
        <v>9500</v>
      </c>
      <c r="AU34" s="9">
        <v>2500</v>
      </c>
      <c r="AV34" s="9"/>
      <c r="AW34" s="9"/>
      <c r="AX34" s="11"/>
      <c r="AY34" s="68">
        <v>5280</v>
      </c>
      <c r="AZ34" s="68">
        <v>7500</v>
      </c>
      <c r="BA34" s="68">
        <v>2500</v>
      </c>
      <c r="BB34" s="68">
        <v>3800</v>
      </c>
      <c r="BC34" s="10"/>
      <c r="BD34" s="10"/>
      <c r="BE34" s="21"/>
      <c r="BF34" s="20"/>
      <c r="BG34" s="10"/>
      <c r="BH34" s="11"/>
      <c r="BI34" s="24"/>
      <c r="BJ34" s="34"/>
      <c r="BL34" s="9">
        <v>200</v>
      </c>
      <c r="BM34" s="9">
        <v>23400</v>
      </c>
      <c r="BN34" s="9">
        <v>9500</v>
      </c>
      <c r="BO34" s="9">
        <v>300</v>
      </c>
      <c r="BP34" s="9">
        <v>50000</v>
      </c>
      <c r="BQ34" s="9">
        <v>6300</v>
      </c>
      <c r="BR34" s="9"/>
      <c r="BS34" s="11"/>
      <c r="BT34" s="68">
        <v>2600</v>
      </c>
      <c r="BU34" s="10"/>
      <c r="BV34" s="10"/>
      <c r="BW34" s="68">
        <v>1500</v>
      </c>
      <c r="BX34" s="68">
        <v>44500</v>
      </c>
      <c r="BY34" s="10"/>
      <c r="BZ34" s="21"/>
      <c r="CA34" s="20"/>
      <c r="CB34" s="10"/>
      <c r="CC34" s="11"/>
      <c r="CD34" s="24"/>
      <c r="CE34" s="34"/>
      <c r="CF34" s="24"/>
      <c r="CG34" s="9">
        <v>13000</v>
      </c>
      <c r="CH34" s="9">
        <v>3500</v>
      </c>
      <c r="CI34" s="9">
        <v>30000</v>
      </c>
      <c r="CJ34" s="9">
        <v>5000</v>
      </c>
      <c r="CK34" s="9"/>
      <c r="CL34" s="9"/>
      <c r="CM34" s="9"/>
      <c r="CN34" s="11"/>
      <c r="CO34" s="68">
        <v>4320</v>
      </c>
      <c r="CP34" s="68">
        <v>8000</v>
      </c>
      <c r="CQ34" s="10"/>
      <c r="CR34" s="68">
        <v>24500</v>
      </c>
      <c r="CS34" s="10"/>
      <c r="CT34" s="10"/>
      <c r="CU34" s="21"/>
      <c r="CV34" s="20"/>
      <c r="CW34" s="10"/>
      <c r="CX34" s="11"/>
      <c r="CY34" s="24"/>
      <c r="CZ34" s="34"/>
    </row>
    <row r="35" spans="1:104">
      <c r="A35" s="9">
        <v>6000</v>
      </c>
      <c r="B35" s="9">
        <v>200</v>
      </c>
      <c r="C35" s="9">
        <v>2000</v>
      </c>
      <c r="D35" s="9">
        <v>4500</v>
      </c>
      <c r="E35" s="9">
        <v>21500</v>
      </c>
      <c r="F35" s="9"/>
      <c r="G35" s="9"/>
      <c r="H35" s="11"/>
      <c r="I35" s="68">
        <v>370</v>
      </c>
      <c r="J35" s="10"/>
      <c r="K35" s="10"/>
      <c r="L35" s="68">
        <v>6700</v>
      </c>
      <c r="M35" s="68">
        <v>1000</v>
      </c>
      <c r="N35" s="10"/>
      <c r="O35" s="21"/>
      <c r="P35" s="20"/>
      <c r="Q35" s="10"/>
      <c r="R35" s="11"/>
      <c r="S35" s="24"/>
      <c r="T35" s="24"/>
      <c r="U35" s="24"/>
      <c r="V35" s="9">
        <v>5000</v>
      </c>
      <c r="W35" s="9">
        <v>30000</v>
      </c>
      <c r="X35" s="9">
        <v>9000</v>
      </c>
      <c r="Y35" s="9">
        <v>3500</v>
      </c>
      <c r="Z35" s="9">
        <v>1800</v>
      </c>
      <c r="AA35" s="9">
        <v>15000</v>
      </c>
      <c r="AB35" s="9"/>
      <c r="AC35" s="11"/>
      <c r="AD35" s="68">
        <v>320000</v>
      </c>
      <c r="AE35" s="68">
        <v>2500</v>
      </c>
      <c r="AF35" s="10"/>
      <c r="AG35" s="68">
        <v>5500</v>
      </c>
      <c r="AH35" s="68">
        <v>9500</v>
      </c>
      <c r="AI35" s="10"/>
      <c r="AJ35" s="21"/>
      <c r="AK35" s="20"/>
      <c r="AL35" s="10"/>
      <c r="AM35" s="11"/>
      <c r="AN35" s="24"/>
      <c r="AO35" s="24"/>
      <c r="AQ35" s="9">
        <v>9000</v>
      </c>
      <c r="AR35" s="9">
        <v>1500</v>
      </c>
      <c r="AS35" s="9">
        <v>1200</v>
      </c>
      <c r="AT35" s="9">
        <v>1500</v>
      </c>
      <c r="AU35" s="9">
        <v>5000</v>
      </c>
      <c r="AV35" s="9"/>
      <c r="AW35" s="9"/>
      <c r="AX35" s="11"/>
      <c r="AY35" s="68">
        <v>3000</v>
      </c>
      <c r="AZ35" s="68">
        <v>22000</v>
      </c>
      <c r="BA35" s="10"/>
      <c r="BB35" s="68">
        <v>11000</v>
      </c>
      <c r="BC35" s="10"/>
      <c r="BD35" s="10"/>
      <c r="BE35" s="21"/>
      <c r="BF35" s="20"/>
      <c r="BG35" s="10"/>
      <c r="BH35" s="11"/>
      <c r="BI35" s="24"/>
      <c r="BJ35" s="24"/>
      <c r="BL35" s="9">
        <v>11000</v>
      </c>
      <c r="BM35" s="9">
        <v>7000</v>
      </c>
      <c r="BN35" s="9">
        <v>5000</v>
      </c>
      <c r="BO35" s="9">
        <v>6000</v>
      </c>
      <c r="BP35" s="9">
        <v>4500</v>
      </c>
      <c r="BQ35" s="9">
        <v>1500</v>
      </c>
      <c r="BR35" s="9"/>
      <c r="BS35" s="11"/>
      <c r="BT35" s="68">
        <v>16000</v>
      </c>
      <c r="BU35" s="10"/>
      <c r="BV35" s="10"/>
      <c r="BW35" s="68">
        <v>19200</v>
      </c>
      <c r="BX35" s="68">
        <v>1560</v>
      </c>
      <c r="BY35" s="10"/>
      <c r="BZ35" s="21"/>
      <c r="CA35" s="20"/>
      <c r="CB35" s="10"/>
      <c r="CC35" s="11"/>
      <c r="CD35" s="24"/>
      <c r="CE35" s="24"/>
      <c r="CF35" s="24"/>
      <c r="CG35" s="9">
        <v>8500</v>
      </c>
      <c r="CH35" s="9">
        <v>3000</v>
      </c>
      <c r="CI35" s="9">
        <v>4000</v>
      </c>
      <c r="CJ35" s="9">
        <v>500</v>
      </c>
      <c r="CK35" s="9"/>
      <c r="CL35" s="9"/>
      <c r="CM35" s="9"/>
      <c r="CN35" s="11"/>
      <c r="CO35" s="68">
        <v>2000</v>
      </c>
      <c r="CP35" s="68">
        <v>13720</v>
      </c>
      <c r="CQ35" s="10"/>
      <c r="CR35" s="68">
        <v>5500</v>
      </c>
      <c r="CS35" s="10"/>
      <c r="CT35" s="10"/>
      <c r="CU35" s="21"/>
      <c r="CV35" s="20"/>
      <c r="CW35" s="10"/>
      <c r="CX35" s="11"/>
      <c r="CY35" s="24"/>
      <c r="CZ35" s="24"/>
    </row>
    <row r="36" spans="14:76">
      <c r="N36" s="4"/>
      <c r="BB36" s="35"/>
      <c r="BC36" s="36"/>
      <c r="BD36" s="35"/>
      <c r="BE36" s="35"/>
      <c r="BF36" s="35"/>
      <c r="BX36" s="4"/>
    </row>
  </sheetData>
  <mergeCells count="61">
    <mergeCell ref="I1:N1"/>
    <mergeCell ref="P1:Q1"/>
    <mergeCell ref="AD1:AI1"/>
    <mergeCell ref="AK1:AL1"/>
    <mergeCell ref="AY1:BD1"/>
    <mergeCell ref="BF1:BG1"/>
    <mergeCell ref="BT1:BY1"/>
    <mergeCell ref="CA1:CB1"/>
    <mergeCell ref="CO1:CT1"/>
    <mergeCell ref="CV1:CW1"/>
    <mergeCell ref="S1:S2"/>
    <mergeCell ref="S3:S4"/>
    <mergeCell ref="S5:S6"/>
    <mergeCell ref="S7:S8"/>
    <mergeCell ref="T1:T2"/>
    <mergeCell ref="T3:T4"/>
    <mergeCell ref="T5:T6"/>
    <mergeCell ref="T7:T8"/>
    <mergeCell ref="AN1:AN2"/>
    <mergeCell ref="AN3:AN4"/>
    <mergeCell ref="AN5:AN6"/>
    <mergeCell ref="AN7:AN8"/>
    <mergeCell ref="AO1:AO2"/>
    <mergeCell ref="AO3:AO4"/>
    <mergeCell ref="AO5:AO6"/>
    <mergeCell ref="AO7:AO8"/>
    <mergeCell ref="BI1:BI2"/>
    <mergeCell ref="BI3:BI4"/>
    <mergeCell ref="BI5:BI6"/>
    <mergeCell ref="BI7:BI8"/>
    <mergeCell ref="BJ1:BJ2"/>
    <mergeCell ref="BJ3:BJ4"/>
    <mergeCell ref="BJ5:BJ6"/>
    <mergeCell ref="BJ7:BJ8"/>
    <mergeCell ref="CD1:CD2"/>
    <mergeCell ref="CD3:CD4"/>
    <mergeCell ref="CD5:CD6"/>
    <mergeCell ref="CD7:CD8"/>
    <mergeCell ref="CE1:CE2"/>
    <mergeCell ref="CE3:CE4"/>
    <mergeCell ref="CE5:CE6"/>
    <mergeCell ref="CE7:CE8"/>
    <mergeCell ref="CY1:CY2"/>
    <mergeCell ref="CY3:CY4"/>
    <mergeCell ref="CY5:CY6"/>
    <mergeCell ref="CY7:CY8"/>
    <mergeCell ref="CZ1:CZ2"/>
    <mergeCell ref="CZ3:CZ4"/>
    <mergeCell ref="CZ5:CZ6"/>
    <mergeCell ref="CZ7:CZ8"/>
    <mergeCell ref="DB1:DE2"/>
    <mergeCell ref="DB3:DC4"/>
    <mergeCell ref="DD3:DE4"/>
    <mergeCell ref="DB5:DC6"/>
    <mergeCell ref="DD5:DE6"/>
    <mergeCell ref="DB11:DC12"/>
    <mergeCell ref="DD11:DE12"/>
    <mergeCell ref="DB7:DC8"/>
    <mergeCell ref="DD7:DE8"/>
    <mergeCell ref="DB9:DC10"/>
    <mergeCell ref="DD9:DE10"/>
  </mergeCell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D36"/>
  <sheetViews>
    <sheetView zoomScale="83" zoomScaleNormal="83" topLeftCell="CI1" workbookViewId="0">
      <selection activeCell="CV11" sqref="CV11"/>
    </sheetView>
  </sheetViews>
  <sheetFormatPr defaultColWidth="11" defaultRowHeight="14.4"/>
  <cols>
    <col min="1" max="7" width="11.712962962963" customWidth="1"/>
    <col min="8" max="8" width="1.71296296296296" customWidth="1"/>
    <col min="9" max="12" width="11.712962962963" customWidth="1"/>
    <col min="13" max="13" width="1.71296296296296" customWidth="1"/>
    <col min="14" max="15" width="11.712962962963" customWidth="1"/>
    <col min="16" max="16" width="1.71296296296296" customWidth="1"/>
    <col min="17" max="17" width="11.712962962963" customWidth="1"/>
    <col min="18" max="18" width="16.287037037037" customWidth="1"/>
    <col min="20" max="20" width="12.4259259259259" customWidth="1"/>
    <col min="21" max="21" width="11.1388888888889" customWidth="1"/>
    <col min="22" max="23" width="11" customWidth="1"/>
    <col min="24" max="24" width="13" customWidth="1"/>
    <col min="25" max="25" width="13.1388888888889" customWidth="1"/>
    <col min="26" max="26" width="12.8518518518519" customWidth="1"/>
    <col min="27" max="27" width="1.71296296296296" customWidth="1"/>
    <col min="28" max="29" width="10.8518518518519" customWidth="1"/>
    <col min="30" max="30" width="10" customWidth="1"/>
    <col min="31" max="31" width="12" customWidth="1"/>
    <col min="32" max="32" width="13.712962962963" customWidth="1"/>
    <col min="33" max="33" width="12.1388888888889" customWidth="1"/>
    <col min="34" max="34" width="1.71296296296296" customWidth="1"/>
    <col min="35" max="35" width="12" customWidth="1"/>
    <col min="36" max="36" width="13.712962962963" customWidth="1"/>
    <col min="37" max="37" width="1.71296296296296" customWidth="1"/>
    <col min="38" max="38" width="15.1388888888889" customWidth="1"/>
    <col min="39" max="39" width="17.1388888888889" customWidth="1"/>
    <col min="41" max="47" width="11.712962962963" customWidth="1"/>
    <col min="48" max="48" width="1.71296296296296" customWidth="1"/>
    <col min="49" max="55" width="11.712962962963" customWidth="1"/>
    <col min="56" max="56" width="1.71296296296296" customWidth="1"/>
    <col min="57" max="58" width="11.712962962963" customWidth="1"/>
    <col min="59" max="59" width="1.71296296296296" customWidth="1"/>
    <col min="60" max="60" width="11.712962962963" customWidth="1"/>
    <col min="61" max="61" width="16.287037037037" customWidth="1"/>
    <col min="63" max="69" width="11.712962962963" customWidth="1"/>
    <col min="70" max="70" width="1.71296296296296" customWidth="1"/>
    <col min="71" max="76" width="11.712962962963" customWidth="1"/>
    <col min="77" max="77" width="1.71296296296296" customWidth="1"/>
    <col min="78" max="79" width="11.712962962963" customWidth="1"/>
    <col min="80" max="80" width="1.71296296296296" customWidth="1"/>
    <col min="81" max="81" width="11.712962962963" customWidth="1"/>
    <col min="82" max="82" width="17.1388888888889" customWidth="1"/>
    <col min="84" max="90" width="11.712962962963" customWidth="1"/>
    <col min="91" max="91" width="1.71296296296296" customWidth="1"/>
    <col min="92" max="97" width="11.712962962963" customWidth="1"/>
    <col min="98" max="98" width="1.71296296296296" customWidth="1"/>
    <col min="99" max="100" width="11.712962962963" customWidth="1"/>
    <col min="101" max="101" width="1.71296296296296" customWidth="1"/>
    <col min="102" max="102" width="11.712962962963" customWidth="1"/>
    <col min="103" max="103" width="14.5740740740741" customWidth="1"/>
    <col min="104" max="104" width="9.42592592592593" customWidth="1"/>
    <col min="105" max="105" width="8.28703703703704" customWidth="1"/>
    <col min="106" max="106" width="7.13888888888889" customWidth="1"/>
    <col min="107" max="107" width="6.85185185185185" customWidth="1"/>
    <col min="108" max="108" width="17.5740740740741" customWidth="1"/>
  </cols>
  <sheetData>
    <row r="1" ht="15" customHeight="1" spans="1:108">
      <c r="A1" s="10">
        <v>3000</v>
      </c>
      <c r="B1" s="10">
        <v>5000</v>
      </c>
      <c r="C1" s="10"/>
      <c r="D1" s="10"/>
      <c r="E1" s="10"/>
      <c r="F1" s="10"/>
      <c r="G1" s="10"/>
      <c r="H1" s="11"/>
      <c r="I1" s="13" t="s">
        <v>0</v>
      </c>
      <c r="J1" s="14"/>
      <c r="K1" s="14"/>
      <c r="L1" s="15"/>
      <c r="M1" s="11"/>
      <c r="N1" s="16" t="s">
        <v>1</v>
      </c>
      <c r="O1" s="17"/>
      <c r="P1" s="11"/>
      <c r="Q1" s="22" t="s">
        <v>2</v>
      </c>
      <c r="R1" s="23"/>
      <c r="S1" s="24"/>
      <c r="T1" s="10">
        <v>20000</v>
      </c>
      <c r="U1" s="10">
        <v>10000</v>
      </c>
      <c r="V1" s="10">
        <v>3500</v>
      </c>
      <c r="W1" s="10">
        <v>14000</v>
      </c>
      <c r="X1" s="10">
        <v>1000</v>
      </c>
      <c r="Y1" s="10">
        <v>1000</v>
      </c>
      <c r="Z1" s="10">
        <v>182850</v>
      </c>
      <c r="AA1" s="11"/>
      <c r="AB1" s="13" t="s">
        <v>0</v>
      </c>
      <c r="AC1" s="14"/>
      <c r="AD1" s="14"/>
      <c r="AE1" s="14"/>
      <c r="AF1" s="14"/>
      <c r="AG1" s="15"/>
      <c r="AH1" s="11"/>
      <c r="AI1" s="16" t="s">
        <v>1</v>
      </c>
      <c r="AJ1" s="17"/>
      <c r="AK1" s="11"/>
      <c r="AL1" s="22" t="s">
        <v>2</v>
      </c>
      <c r="AM1" s="23"/>
      <c r="AO1" s="10">
        <v>14000</v>
      </c>
      <c r="AP1" s="10">
        <v>24500</v>
      </c>
      <c r="AQ1" s="10">
        <v>38000</v>
      </c>
      <c r="AR1" s="10">
        <v>1600</v>
      </c>
      <c r="AS1" s="10">
        <v>2400</v>
      </c>
      <c r="AT1" s="10">
        <v>5000</v>
      </c>
      <c r="AU1" s="10">
        <v>1000</v>
      </c>
      <c r="AV1" s="11"/>
      <c r="AW1" s="13" t="s">
        <v>0</v>
      </c>
      <c r="AX1" s="14"/>
      <c r="AY1" s="14"/>
      <c r="AZ1" s="14"/>
      <c r="BA1" s="14"/>
      <c r="BB1" s="14"/>
      <c r="BC1" s="15"/>
      <c r="BD1" s="11"/>
      <c r="BE1" s="16" t="s">
        <v>1</v>
      </c>
      <c r="BF1" s="17"/>
      <c r="BG1" s="11"/>
      <c r="BH1" s="22" t="s">
        <v>2</v>
      </c>
      <c r="BI1" s="23"/>
      <c r="BK1" s="10">
        <v>11000</v>
      </c>
      <c r="BL1" s="10">
        <v>4000</v>
      </c>
      <c r="BM1" s="10">
        <v>15000</v>
      </c>
      <c r="BN1" s="10">
        <v>6000</v>
      </c>
      <c r="BO1" s="10">
        <v>35000</v>
      </c>
      <c r="BP1" s="10">
        <v>5500</v>
      </c>
      <c r="BQ1" s="10">
        <v>12000</v>
      </c>
      <c r="BR1" s="11"/>
      <c r="BS1" s="13" t="s">
        <v>0</v>
      </c>
      <c r="BT1" s="14"/>
      <c r="BU1" s="14"/>
      <c r="BV1" s="14"/>
      <c r="BW1" s="14"/>
      <c r="BX1" s="15"/>
      <c r="BY1" s="11"/>
      <c r="BZ1" s="16" t="s">
        <v>1</v>
      </c>
      <c r="CA1" s="17"/>
      <c r="CB1" s="11"/>
      <c r="CC1" s="22" t="s">
        <v>2</v>
      </c>
      <c r="CD1" s="23"/>
      <c r="CF1" s="10">
        <v>6000</v>
      </c>
      <c r="CG1" s="10">
        <v>1800</v>
      </c>
      <c r="CH1" s="10">
        <v>4200</v>
      </c>
      <c r="CI1" s="10">
        <v>8500</v>
      </c>
      <c r="CJ1" s="10">
        <v>18000</v>
      </c>
      <c r="CK1" s="10">
        <v>1000</v>
      </c>
      <c r="CL1" s="10">
        <v>1500</v>
      </c>
      <c r="CM1" s="11"/>
      <c r="CN1" s="13" t="s">
        <v>0</v>
      </c>
      <c r="CO1" s="14"/>
      <c r="CP1" s="14"/>
      <c r="CQ1" s="14"/>
      <c r="CR1" s="14"/>
      <c r="CS1" s="15"/>
      <c r="CT1" s="11"/>
      <c r="CU1" s="16" t="s">
        <v>1</v>
      </c>
      <c r="CV1" s="17"/>
      <c r="CW1" s="11"/>
      <c r="CX1" s="22" t="s">
        <v>2</v>
      </c>
      <c r="CY1" s="69"/>
      <c r="DA1" s="37" t="s">
        <v>3</v>
      </c>
      <c r="DB1" s="45"/>
      <c r="DC1" s="45"/>
      <c r="DD1" s="46"/>
    </row>
    <row r="2" ht="15" customHeight="1" spans="1:108">
      <c r="A2" s="12">
        <v>1500</v>
      </c>
      <c r="B2" s="12">
        <v>6000</v>
      </c>
      <c r="C2" s="12"/>
      <c r="D2" s="12"/>
      <c r="E2" s="12"/>
      <c r="F2" s="12"/>
      <c r="G2" s="12"/>
      <c r="H2" s="11"/>
      <c r="I2" s="10">
        <v>86800</v>
      </c>
      <c r="J2" s="10">
        <v>8130</v>
      </c>
      <c r="K2" s="10">
        <v>4500</v>
      </c>
      <c r="L2" s="10"/>
      <c r="M2" s="11"/>
      <c r="N2" s="18" t="s">
        <v>122</v>
      </c>
      <c r="O2" s="10"/>
      <c r="P2" s="11"/>
      <c r="Q2" s="25"/>
      <c r="R2" s="26"/>
      <c r="S2" s="24"/>
      <c r="T2" s="12">
        <v>11000</v>
      </c>
      <c r="U2" s="12">
        <v>3000</v>
      </c>
      <c r="V2" s="12">
        <v>14500</v>
      </c>
      <c r="W2" s="12">
        <v>7500</v>
      </c>
      <c r="X2" s="12">
        <v>800</v>
      </c>
      <c r="Y2" s="12">
        <v>10000</v>
      </c>
      <c r="Z2" s="12">
        <v>48900</v>
      </c>
      <c r="AA2" s="11"/>
      <c r="AB2" s="68">
        <v>40650</v>
      </c>
      <c r="AC2" s="68">
        <v>3360</v>
      </c>
      <c r="AD2" s="10"/>
      <c r="AE2" s="68">
        <v>1100</v>
      </c>
      <c r="AF2" s="68">
        <v>1500</v>
      </c>
      <c r="AG2" s="68">
        <v>469350</v>
      </c>
      <c r="AH2" s="11"/>
      <c r="AI2" s="20" t="s">
        <v>123</v>
      </c>
      <c r="AJ2" s="10">
        <v>28000</v>
      </c>
      <c r="AK2" s="11"/>
      <c r="AL2" s="25"/>
      <c r="AM2" s="26"/>
      <c r="AO2" s="12">
        <v>200</v>
      </c>
      <c r="AP2" s="12">
        <v>3000</v>
      </c>
      <c r="AQ2" s="12">
        <v>48500</v>
      </c>
      <c r="AR2" s="12">
        <v>45000</v>
      </c>
      <c r="AS2" s="12">
        <v>5500</v>
      </c>
      <c r="AT2" s="12">
        <v>200</v>
      </c>
      <c r="AU2" s="12">
        <v>6000</v>
      </c>
      <c r="AV2" s="11"/>
      <c r="AW2" s="68">
        <v>1600</v>
      </c>
      <c r="AX2" s="68">
        <v>7320</v>
      </c>
      <c r="AY2" s="68">
        <v>6500</v>
      </c>
      <c r="AZ2" s="68">
        <v>119000</v>
      </c>
      <c r="BA2" s="68">
        <v>12500</v>
      </c>
      <c r="BB2" s="68">
        <v>3500</v>
      </c>
      <c r="BC2" s="68">
        <v>8900</v>
      </c>
      <c r="BD2" s="11"/>
      <c r="BE2" s="20" t="s">
        <v>63</v>
      </c>
      <c r="BF2" s="10">
        <v>34200</v>
      </c>
      <c r="BG2" s="11"/>
      <c r="BH2" s="25"/>
      <c r="BI2" s="26"/>
      <c r="BK2" s="12">
        <v>5000</v>
      </c>
      <c r="BL2" s="12">
        <v>2700</v>
      </c>
      <c r="BM2" s="12">
        <v>15000</v>
      </c>
      <c r="BN2" s="12">
        <v>2000</v>
      </c>
      <c r="BO2" s="12">
        <v>800</v>
      </c>
      <c r="BP2" s="12">
        <v>5500</v>
      </c>
      <c r="BQ2" s="12">
        <v>3000</v>
      </c>
      <c r="BR2" s="11"/>
      <c r="BS2" s="68">
        <v>18000</v>
      </c>
      <c r="BT2" s="68">
        <v>9610</v>
      </c>
      <c r="BU2" s="68">
        <v>700</v>
      </c>
      <c r="BV2" s="68">
        <v>13000</v>
      </c>
      <c r="BW2" s="68">
        <v>3800</v>
      </c>
      <c r="BX2" s="68">
        <v>272100</v>
      </c>
      <c r="BY2" s="11"/>
      <c r="BZ2" s="20" t="s">
        <v>124</v>
      </c>
      <c r="CA2" s="10">
        <v>25450</v>
      </c>
      <c r="CB2" s="11"/>
      <c r="CC2" s="25"/>
      <c r="CD2" s="26"/>
      <c r="CF2" s="12">
        <v>3800</v>
      </c>
      <c r="CG2" s="12">
        <v>18000</v>
      </c>
      <c r="CH2" s="12">
        <v>3500</v>
      </c>
      <c r="CI2" s="12">
        <v>1000</v>
      </c>
      <c r="CJ2" s="12">
        <v>7500</v>
      </c>
      <c r="CK2" s="12">
        <v>3000</v>
      </c>
      <c r="CL2" s="12">
        <v>3000</v>
      </c>
      <c r="CM2" s="11"/>
      <c r="CN2" s="68">
        <v>17000</v>
      </c>
      <c r="CO2" s="68">
        <v>9500</v>
      </c>
      <c r="CP2" s="68">
        <v>960</v>
      </c>
      <c r="CQ2" s="68">
        <v>2500</v>
      </c>
      <c r="CR2" s="68">
        <v>20000</v>
      </c>
      <c r="CS2" s="68">
        <v>14500</v>
      </c>
      <c r="CT2" s="11"/>
      <c r="CU2" s="20" t="s">
        <v>8</v>
      </c>
      <c r="CV2" s="10">
        <v>66780</v>
      </c>
      <c r="CW2" s="11"/>
      <c r="CX2" s="25"/>
      <c r="CY2" s="70"/>
      <c r="DA2" s="38"/>
      <c r="DB2" s="47"/>
      <c r="DC2" s="47"/>
      <c r="DD2" s="48"/>
    </row>
    <row r="3" ht="15" customHeight="1" spans="1:108">
      <c r="A3" s="9">
        <v>4000</v>
      </c>
      <c r="B3" s="9">
        <v>5000</v>
      </c>
      <c r="C3" s="9"/>
      <c r="D3" s="9"/>
      <c r="E3" s="9"/>
      <c r="F3" s="9"/>
      <c r="G3" s="9"/>
      <c r="H3" s="11"/>
      <c r="I3" s="10">
        <v>4000</v>
      </c>
      <c r="J3" s="10">
        <v>17400</v>
      </c>
      <c r="K3" s="10">
        <v>12800</v>
      </c>
      <c r="L3" s="10"/>
      <c r="M3" s="19"/>
      <c r="N3" s="20" t="s">
        <v>38</v>
      </c>
      <c r="O3" s="10">
        <v>70000</v>
      </c>
      <c r="P3" s="11">
        <v>1</v>
      </c>
      <c r="Q3" s="27" t="s">
        <v>9</v>
      </c>
      <c r="R3" s="23">
        <f>SUM(A1:H35)</f>
        <v>419600</v>
      </c>
      <c r="S3" s="24"/>
      <c r="T3" s="9">
        <v>33000</v>
      </c>
      <c r="U3" s="9">
        <v>4000</v>
      </c>
      <c r="V3" s="9">
        <v>15000</v>
      </c>
      <c r="W3" s="9">
        <v>5000</v>
      </c>
      <c r="X3" s="9">
        <v>3500</v>
      </c>
      <c r="Y3" s="9">
        <v>3000</v>
      </c>
      <c r="Z3" s="9">
        <v>3000</v>
      </c>
      <c r="AA3" s="11"/>
      <c r="AB3" s="68">
        <v>2500</v>
      </c>
      <c r="AC3" s="68">
        <v>16000</v>
      </c>
      <c r="AD3" s="10"/>
      <c r="AE3" s="68">
        <v>81500</v>
      </c>
      <c r="AF3" s="68">
        <v>54500</v>
      </c>
      <c r="AG3" s="68">
        <v>5500</v>
      </c>
      <c r="AH3" s="19"/>
      <c r="AI3" s="20" t="s">
        <v>125</v>
      </c>
      <c r="AJ3" s="10">
        <v>329400</v>
      </c>
      <c r="AK3" s="11">
        <v>1</v>
      </c>
      <c r="AL3" s="27" t="s">
        <v>9</v>
      </c>
      <c r="AM3" s="23">
        <f>SUM(T1:AA35)</f>
        <v>1894270</v>
      </c>
      <c r="AO3" s="9">
        <v>3200</v>
      </c>
      <c r="AP3" s="9">
        <v>15000</v>
      </c>
      <c r="AQ3" s="9">
        <v>4500</v>
      </c>
      <c r="AR3" s="9">
        <v>13000</v>
      </c>
      <c r="AS3" s="9">
        <v>2000</v>
      </c>
      <c r="AT3" s="9">
        <v>3000</v>
      </c>
      <c r="AU3" s="9">
        <v>2500</v>
      </c>
      <c r="AV3" s="11"/>
      <c r="AW3" s="68">
        <v>55480</v>
      </c>
      <c r="AX3" s="68">
        <v>2500</v>
      </c>
      <c r="AY3" s="68">
        <v>7500</v>
      </c>
      <c r="AZ3" s="68">
        <v>4000</v>
      </c>
      <c r="BA3" s="68">
        <v>8000</v>
      </c>
      <c r="BB3" s="68">
        <v>3800</v>
      </c>
      <c r="BC3" s="68">
        <v>2400</v>
      </c>
      <c r="BD3" s="19"/>
      <c r="BE3" s="20" t="s">
        <v>126</v>
      </c>
      <c r="BF3" s="10">
        <v>19000</v>
      </c>
      <c r="BG3" s="11">
        <v>1</v>
      </c>
      <c r="BH3" s="27" t="s">
        <v>9</v>
      </c>
      <c r="BI3" s="23">
        <f>SUM(AO1:AV35)</f>
        <v>1828500</v>
      </c>
      <c r="BK3" s="9">
        <v>2000</v>
      </c>
      <c r="BL3" s="9">
        <v>3000</v>
      </c>
      <c r="BM3" s="9">
        <v>10000</v>
      </c>
      <c r="BN3" s="9">
        <v>3000</v>
      </c>
      <c r="BO3" s="9">
        <v>30000</v>
      </c>
      <c r="BP3" s="9">
        <v>40000</v>
      </c>
      <c r="BQ3" s="9">
        <v>1000</v>
      </c>
      <c r="BR3" s="11"/>
      <c r="BS3" s="68">
        <v>4950</v>
      </c>
      <c r="BT3" s="68">
        <v>1440</v>
      </c>
      <c r="BU3" s="68">
        <v>28820</v>
      </c>
      <c r="BV3" s="68">
        <v>5000</v>
      </c>
      <c r="BW3" s="68">
        <v>5000</v>
      </c>
      <c r="BX3" s="68">
        <v>7000</v>
      </c>
      <c r="BY3" s="19"/>
      <c r="BZ3" s="20" t="s">
        <v>48</v>
      </c>
      <c r="CA3" s="10">
        <v>125000</v>
      </c>
      <c r="CB3" s="11">
        <v>1</v>
      </c>
      <c r="CC3" s="27" t="s">
        <v>9</v>
      </c>
      <c r="CD3" s="23">
        <f>SUM(BK1:BR35)</f>
        <v>1750060</v>
      </c>
      <c r="CF3" s="9">
        <v>400</v>
      </c>
      <c r="CG3" s="9">
        <v>5000</v>
      </c>
      <c r="CH3" s="9">
        <v>2500</v>
      </c>
      <c r="CI3" s="9">
        <v>1500</v>
      </c>
      <c r="CJ3" s="9">
        <v>22500</v>
      </c>
      <c r="CK3" s="9">
        <v>1500</v>
      </c>
      <c r="CL3" s="9">
        <v>11500</v>
      </c>
      <c r="CM3" s="11"/>
      <c r="CN3" s="68">
        <v>10000</v>
      </c>
      <c r="CO3" s="68">
        <v>1600</v>
      </c>
      <c r="CP3" s="68">
        <v>960</v>
      </c>
      <c r="CQ3" s="68">
        <v>13100</v>
      </c>
      <c r="CR3" s="68">
        <v>7500</v>
      </c>
      <c r="CS3" s="68">
        <v>34500</v>
      </c>
      <c r="CT3" s="19"/>
      <c r="CU3" s="20" t="s">
        <v>67</v>
      </c>
      <c r="CV3" s="10">
        <v>101050</v>
      </c>
      <c r="CW3" s="11">
        <v>1</v>
      </c>
      <c r="CX3" s="27" t="s">
        <v>9</v>
      </c>
      <c r="CY3" s="69">
        <f>SUM(CF1:CM35)</f>
        <v>1583400</v>
      </c>
      <c r="DA3" s="39" t="s">
        <v>9</v>
      </c>
      <c r="DB3" s="49"/>
      <c r="DC3" s="50">
        <f>SUM(R3,AM3,BI3,CD3,CY3)</f>
        <v>7475830</v>
      </c>
      <c r="DD3" s="51"/>
    </row>
    <row r="4" ht="15" customHeight="1" spans="1:108">
      <c r="A4" s="9">
        <v>3500</v>
      </c>
      <c r="B4" s="9">
        <v>10500</v>
      </c>
      <c r="C4" s="9"/>
      <c r="D4" s="9"/>
      <c r="E4" s="9"/>
      <c r="F4" s="9"/>
      <c r="G4" s="9"/>
      <c r="H4" s="11"/>
      <c r="I4" s="10">
        <v>7000</v>
      </c>
      <c r="J4" s="10">
        <v>4500</v>
      </c>
      <c r="K4" s="10">
        <v>2100</v>
      </c>
      <c r="L4" s="10"/>
      <c r="M4" s="19"/>
      <c r="N4" s="20"/>
      <c r="O4" s="10"/>
      <c r="P4" s="11"/>
      <c r="Q4" s="28"/>
      <c r="R4" s="26"/>
      <c r="S4" s="24"/>
      <c r="T4" s="9">
        <v>4000</v>
      </c>
      <c r="U4" s="9">
        <v>18000</v>
      </c>
      <c r="V4" s="9">
        <v>5000</v>
      </c>
      <c r="W4" s="9">
        <v>6000</v>
      </c>
      <c r="X4" s="9">
        <v>10800</v>
      </c>
      <c r="Y4" s="9">
        <v>5000</v>
      </c>
      <c r="Z4" s="9">
        <v>4500</v>
      </c>
      <c r="AA4" s="11"/>
      <c r="AB4" s="68">
        <v>85020</v>
      </c>
      <c r="AC4" s="68">
        <v>37950</v>
      </c>
      <c r="AD4" s="10"/>
      <c r="AE4" s="68">
        <v>4500</v>
      </c>
      <c r="AF4" s="68">
        <v>1000</v>
      </c>
      <c r="AG4" s="68">
        <v>15500</v>
      </c>
      <c r="AH4" s="19"/>
      <c r="AI4" s="20" t="s">
        <v>34</v>
      </c>
      <c r="AJ4" s="10">
        <v>80000</v>
      </c>
      <c r="AK4" s="11"/>
      <c r="AL4" s="28"/>
      <c r="AM4" s="26"/>
      <c r="AO4" s="9">
        <v>4000</v>
      </c>
      <c r="AP4" s="9">
        <v>4200</v>
      </c>
      <c r="AQ4" s="9">
        <v>6000</v>
      </c>
      <c r="AR4" s="9">
        <v>14600</v>
      </c>
      <c r="AS4" s="9">
        <v>8700</v>
      </c>
      <c r="AT4" s="9">
        <v>17000</v>
      </c>
      <c r="AU4" s="9">
        <v>6000</v>
      </c>
      <c r="AV4" s="11"/>
      <c r="AW4" s="68">
        <v>4320</v>
      </c>
      <c r="AX4" s="68">
        <v>4500</v>
      </c>
      <c r="AY4" s="68">
        <v>5000</v>
      </c>
      <c r="AZ4" s="68">
        <v>1000</v>
      </c>
      <c r="BA4" s="68">
        <v>9000</v>
      </c>
      <c r="BB4" s="68">
        <v>800</v>
      </c>
      <c r="BC4" s="68">
        <v>9500</v>
      </c>
      <c r="BD4" s="19"/>
      <c r="BE4" s="20" t="s">
        <v>18</v>
      </c>
      <c r="BF4" s="10">
        <v>306500</v>
      </c>
      <c r="BG4" s="11"/>
      <c r="BH4" s="28"/>
      <c r="BI4" s="26"/>
      <c r="BK4" s="9">
        <v>12000</v>
      </c>
      <c r="BL4" s="9">
        <v>2500</v>
      </c>
      <c r="BM4" s="9">
        <v>2000</v>
      </c>
      <c r="BN4" s="9">
        <v>1500</v>
      </c>
      <c r="BO4" s="9">
        <v>5500</v>
      </c>
      <c r="BP4" s="9">
        <v>2000</v>
      </c>
      <c r="BQ4" s="9">
        <v>2500</v>
      </c>
      <c r="BR4" s="11"/>
      <c r="BS4" s="68">
        <v>13210</v>
      </c>
      <c r="BT4" s="68">
        <v>16000</v>
      </c>
      <c r="BU4" s="68">
        <v>4000</v>
      </c>
      <c r="BV4" s="68">
        <v>9000</v>
      </c>
      <c r="BW4" s="68">
        <v>700</v>
      </c>
      <c r="BX4" s="68">
        <v>1500</v>
      </c>
      <c r="BY4" s="19"/>
      <c r="BZ4" s="20" t="s">
        <v>31</v>
      </c>
      <c r="CA4" s="10">
        <v>11100</v>
      </c>
      <c r="CB4" s="11"/>
      <c r="CC4" s="28"/>
      <c r="CD4" s="26"/>
      <c r="CF4" s="9">
        <v>5000</v>
      </c>
      <c r="CG4" s="9">
        <v>23000</v>
      </c>
      <c r="CH4" s="9">
        <v>16900</v>
      </c>
      <c r="CI4" s="9">
        <v>13000</v>
      </c>
      <c r="CJ4" s="9">
        <v>4500</v>
      </c>
      <c r="CK4" s="9">
        <v>1000</v>
      </c>
      <c r="CL4" s="9">
        <v>1800</v>
      </c>
      <c r="CM4" s="11"/>
      <c r="CN4" s="68">
        <v>2500</v>
      </c>
      <c r="CO4" s="68">
        <v>15850</v>
      </c>
      <c r="CP4" s="68">
        <v>29300</v>
      </c>
      <c r="CQ4" s="68">
        <v>3500</v>
      </c>
      <c r="CR4" s="68">
        <v>3000</v>
      </c>
      <c r="CS4" s="68">
        <v>15000</v>
      </c>
      <c r="CT4" s="19"/>
      <c r="CU4" s="20" t="s">
        <v>18</v>
      </c>
      <c r="CV4" s="10">
        <v>808500</v>
      </c>
      <c r="CW4" s="11"/>
      <c r="CX4" s="28"/>
      <c r="CY4" s="70"/>
      <c r="DA4" s="40"/>
      <c r="DB4" s="52"/>
      <c r="DC4" s="53"/>
      <c r="DD4" s="54"/>
    </row>
    <row r="5" ht="15" customHeight="1" spans="1:108">
      <c r="A5" s="9">
        <v>6500</v>
      </c>
      <c r="B5" s="9">
        <v>2200</v>
      </c>
      <c r="C5" s="9"/>
      <c r="D5" s="9"/>
      <c r="E5" s="9"/>
      <c r="F5" s="9"/>
      <c r="G5" s="9"/>
      <c r="H5" s="11"/>
      <c r="I5" s="10">
        <v>10000</v>
      </c>
      <c r="J5" s="10">
        <v>2000</v>
      </c>
      <c r="K5" s="10">
        <v>10000</v>
      </c>
      <c r="L5" s="10"/>
      <c r="M5" s="19"/>
      <c r="N5" s="20"/>
      <c r="O5" s="10"/>
      <c r="P5" s="11"/>
      <c r="Q5" s="27" t="s">
        <v>17</v>
      </c>
      <c r="R5" s="23">
        <f>SUM(I2:L35)</f>
        <v>625680</v>
      </c>
      <c r="S5" s="24"/>
      <c r="T5" s="9">
        <v>10000</v>
      </c>
      <c r="U5" s="9">
        <v>2500</v>
      </c>
      <c r="V5" s="9">
        <v>8000</v>
      </c>
      <c r="W5" s="9">
        <v>1500</v>
      </c>
      <c r="X5" s="9">
        <v>6000</v>
      </c>
      <c r="Y5" s="9">
        <v>8800</v>
      </c>
      <c r="Z5" s="9">
        <v>8200</v>
      </c>
      <c r="AA5" s="11"/>
      <c r="AB5" s="68">
        <v>9130</v>
      </c>
      <c r="AC5" s="68">
        <v>10090</v>
      </c>
      <c r="AD5" s="10"/>
      <c r="AE5" s="68">
        <v>15000</v>
      </c>
      <c r="AF5" s="68">
        <v>14000</v>
      </c>
      <c r="AG5" s="68">
        <v>3500</v>
      </c>
      <c r="AH5" s="19"/>
      <c r="AI5" s="20" t="s">
        <v>18</v>
      </c>
      <c r="AJ5" s="10">
        <v>540800</v>
      </c>
      <c r="AK5" s="11"/>
      <c r="AL5" s="27" t="s">
        <v>17</v>
      </c>
      <c r="AM5" s="23">
        <f>SUM(AB2:AG35)</f>
        <v>1907970</v>
      </c>
      <c r="AO5" s="9">
        <v>2000</v>
      </c>
      <c r="AP5" s="9">
        <v>2200</v>
      </c>
      <c r="AQ5" s="9">
        <v>5500</v>
      </c>
      <c r="AR5" s="9">
        <v>13000</v>
      </c>
      <c r="AS5" s="9">
        <v>8500</v>
      </c>
      <c r="AT5" s="9">
        <v>7000</v>
      </c>
      <c r="AU5" s="9">
        <v>16200</v>
      </c>
      <c r="AV5" s="11"/>
      <c r="AW5" s="68">
        <v>6930</v>
      </c>
      <c r="AX5" s="68">
        <v>58000</v>
      </c>
      <c r="AY5" s="68">
        <v>12490</v>
      </c>
      <c r="AZ5" s="68">
        <v>3000</v>
      </c>
      <c r="BA5" s="68">
        <v>8000</v>
      </c>
      <c r="BB5" s="68">
        <v>20000</v>
      </c>
      <c r="BC5" s="68">
        <v>23500</v>
      </c>
      <c r="BD5" s="19"/>
      <c r="BE5" s="20" t="s">
        <v>58</v>
      </c>
      <c r="BF5" s="10">
        <v>39310</v>
      </c>
      <c r="BG5" s="11"/>
      <c r="BH5" s="27" t="s">
        <v>17</v>
      </c>
      <c r="BI5" s="23">
        <f>SUM(AW2:BC35)</f>
        <v>3096540</v>
      </c>
      <c r="BK5" s="9">
        <v>800</v>
      </c>
      <c r="BL5" s="9">
        <v>10000</v>
      </c>
      <c r="BM5" s="9">
        <v>6000</v>
      </c>
      <c r="BN5" s="9">
        <v>20000</v>
      </c>
      <c r="BO5" s="9">
        <v>8500</v>
      </c>
      <c r="BP5" s="9">
        <v>3000</v>
      </c>
      <c r="BQ5" s="9">
        <v>4500</v>
      </c>
      <c r="BR5" s="11"/>
      <c r="BS5" s="68">
        <v>2220</v>
      </c>
      <c r="BT5" s="68">
        <v>5280</v>
      </c>
      <c r="BU5" s="68">
        <v>12300</v>
      </c>
      <c r="BV5" s="68">
        <v>27500</v>
      </c>
      <c r="BW5" s="68">
        <v>25000</v>
      </c>
      <c r="BX5" s="68">
        <v>10000</v>
      </c>
      <c r="BY5" s="19"/>
      <c r="BZ5" s="20" t="s">
        <v>80</v>
      </c>
      <c r="CA5" s="10">
        <v>466050</v>
      </c>
      <c r="CB5" s="11"/>
      <c r="CC5" s="27" t="s">
        <v>17</v>
      </c>
      <c r="CD5" s="23">
        <f>SUM(BS2:BX35)</f>
        <v>1965210</v>
      </c>
      <c r="CF5" s="9">
        <v>22000</v>
      </c>
      <c r="CG5" s="9">
        <v>500</v>
      </c>
      <c r="CH5" s="9">
        <v>1000</v>
      </c>
      <c r="CI5" s="9">
        <v>11400</v>
      </c>
      <c r="CJ5" s="9">
        <v>2300</v>
      </c>
      <c r="CK5" s="9">
        <v>2500</v>
      </c>
      <c r="CL5" s="9">
        <v>4500</v>
      </c>
      <c r="CM5" s="11"/>
      <c r="CN5" s="68">
        <v>3000</v>
      </c>
      <c r="CO5" s="68">
        <v>12490</v>
      </c>
      <c r="CP5" s="68">
        <v>4610</v>
      </c>
      <c r="CQ5" s="68">
        <v>4000</v>
      </c>
      <c r="CR5" s="68">
        <v>56000</v>
      </c>
      <c r="CS5" s="68">
        <v>2500</v>
      </c>
      <c r="CT5" s="19"/>
      <c r="CU5" s="20" t="s">
        <v>58</v>
      </c>
      <c r="CV5" s="10">
        <v>33800</v>
      </c>
      <c r="CW5" s="11"/>
      <c r="CX5" s="27" t="s">
        <v>17</v>
      </c>
      <c r="CY5" s="69">
        <f>SUM(CN2:CS35)</f>
        <v>2194780</v>
      </c>
      <c r="DA5" s="39" t="s">
        <v>17</v>
      </c>
      <c r="DB5" s="49"/>
      <c r="DC5" s="50">
        <f>SUM(R5,AM5,BI5,CD5,CY5)</f>
        <v>9790180</v>
      </c>
      <c r="DD5" s="51"/>
    </row>
    <row r="6" ht="15" customHeight="1" spans="1:108">
      <c r="A6" s="9">
        <v>1000</v>
      </c>
      <c r="B6" s="9">
        <v>24000</v>
      </c>
      <c r="C6" s="9"/>
      <c r="D6" s="9"/>
      <c r="E6" s="9"/>
      <c r="F6" s="9"/>
      <c r="G6" s="9"/>
      <c r="H6" s="11"/>
      <c r="I6" s="10">
        <v>1440</v>
      </c>
      <c r="J6" s="10">
        <v>4500</v>
      </c>
      <c r="K6" s="10">
        <v>8500</v>
      </c>
      <c r="L6" s="10"/>
      <c r="M6" s="19"/>
      <c r="N6" s="20"/>
      <c r="O6" s="10"/>
      <c r="P6" s="11"/>
      <c r="Q6" s="28"/>
      <c r="R6" s="26"/>
      <c r="S6" s="24"/>
      <c r="T6" s="9">
        <v>2500</v>
      </c>
      <c r="U6" s="9">
        <v>5000</v>
      </c>
      <c r="V6" s="9">
        <v>8000</v>
      </c>
      <c r="W6" s="9">
        <v>25000</v>
      </c>
      <c r="X6" s="9">
        <v>11600</v>
      </c>
      <c r="Y6" s="9">
        <v>10500</v>
      </c>
      <c r="Z6" s="9">
        <v>2300</v>
      </c>
      <c r="AA6" s="11"/>
      <c r="AB6" s="68">
        <v>670</v>
      </c>
      <c r="AC6" s="68">
        <v>24760</v>
      </c>
      <c r="AD6" s="10"/>
      <c r="AE6" s="68">
        <v>18000</v>
      </c>
      <c r="AF6" s="68">
        <v>300</v>
      </c>
      <c r="AG6" s="68">
        <v>2500</v>
      </c>
      <c r="AH6" s="19"/>
      <c r="AI6" s="20" t="s">
        <v>127</v>
      </c>
      <c r="AJ6" s="10">
        <v>24000</v>
      </c>
      <c r="AK6" s="11"/>
      <c r="AL6" s="28"/>
      <c r="AM6" s="26"/>
      <c r="AO6" s="9">
        <v>10000</v>
      </c>
      <c r="AP6" s="9">
        <v>800</v>
      </c>
      <c r="AQ6" s="9">
        <v>7000</v>
      </c>
      <c r="AR6" s="9">
        <v>2000</v>
      </c>
      <c r="AS6" s="9">
        <v>4000</v>
      </c>
      <c r="AT6" s="9">
        <v>26600</v>
      </c>
      <c r="AU6" s="9">
        <v>2000</v>
      </c>
      <c r="AV6" s="11"/>
      <c r="AW6" s="68">
        <v>24760</v>
      </c>
      <c r="AX6" s="68">
        <v>73490</v>
      </c>
      <c r="AY6" s="68">
        <v>2400</v>
      </c>
      <c r="AZ6" s="68">
        <v>5000</v>
      </c>
      <c r="BA6" s="68">
        <v>10000</v>
      </c>
      <c r="BB6" s="68">
        <v>5000</v>
      </c>
      <c r="BC6" s="68">
        <v>13000</v>
      </c>
      <c r="BD6" s="19"/>
      <c r="BE6" s="20" t="s">
        <v>60</v>
      </c>
      <c r="BF6" s="10">
        <v>198220</v>
      </c>
      <c r="BG6" s="11"/>
      <c r="BH6" s="28"/>
      <c r="BI6" s="26"/>
      <c r="BK6" s="9">
        <v>100</v>
      </c>
      <c r="BL6" s="9">
        <v>4500</v>
      </c>
      <c r="BM6" s="9">
        <v>4500</v>
      </c>
      <c r="BN6" s="9">
        <v>800</v>
      </c>
      <c r="BO6" s="9">
        <v>1000</v>
      </c>
      <c r="BP6" s="9">
        <v>50000</v>
      </c>
      <c r="BQ6" s="9">
        <v>3000</v>
      </c>
      <c r="BR6" s="11"/>
      <c r="BS6" s="68">
        <v>9120</v>
      </c>
      <c r="BT6" s="68">
        <v>6800</v>
      </c>
      <c r="BU6" s="68">
        <v>4400</v>
      </c>
      <c r="BV6" s="68">
        <v>8500</v>
      </c>
      <c r="BW6" s="68">
        <v>7000</v>
      </c>
      <c r="BX6" s="68">
        <v>5500</v>
      </c>
      <c r="BY6" s="19"/>
      <c r="BZ6" s="20" t="s">
        <v>128</v>
      </c>
      <c r="CA6" s="10">
        <v>61000</v>
      </c>
      <c r="CB6" s="11"/>
      <c r="CC6" s="28"/>
      <c r="CD6" s="26"/>
      <c r="CF6" s="9">
        <v>400</v>
      </c>
      <c r="CG6" s="9">
        <v>5500</v>
      </c>
      <c r="CH6" s="9">
        <v>9500</v>
      </c>
      <c r="CI6" s="9">
        <v>21000</v>
      </c>
      <c r="CJ6" s="9">
        <v>5200</v>
      </c>
      <c r="CK6" s="9">
        <v>4600</v>
      </c>
      <c r="CL6" s="9">
        <v>2000</v>
      </c>
      <c r="CM6" s="11"/>
      <c r="CN6" s="68">
        <v>4000</v>
      </c>
      <c r="CO6" s="68">
        <v>33620</v>
      </c>
      <c r="CP6" s="68">
        <v>1440</v>
      </c>
      <c r="CQ6" s="68">
        <v>8000</v>
      </c>
      <c r="CR6" s="68">
        <v>21000</v>
      </c>
      <c r="CS6" s="68">
        <v>500</v>
      </c>
      <c r="CT6" s="19"/>
      <c r="CU6" s="20" t="s">
        <v>82</v>
      </c>
      <c r="CV6" s="10">
        <v>21400</v>
      </c>
      <c r="CW6" s="11"/>
      <c r="CX6" s="28"/>
      <c r="CY6" s="70"/>
      <c r="DA6" s="40"/>
      <c r="DB6" s="52"/>
      <c r="DC6" s="53"/>
      <c r="DD6" s="54"/>
    </row>
    <row r="7" ht="15" customHeight="1" spans="1:108">
      <c r="A7" s="9">
        <v>5500</v>
      </c>
      <c r="B7" s="9">
        <v>2000</v>
      </c>
      <c r="C7" s="9"/>
      <c r="D7" s="9"/>
      <c r="E7" s="9"/>
      <c r="F7" s="9"/>
      <c r="G7" s="9"/>
      <c r="H7" s="11"/>
      <c r="I7" s="10">
        <v>33000</v>
      </c>
      <c r="J7" s="10">
        <v>8000</v>
      </c>
      <c r="K7" s="10">
        <v>3500</v>
      </c>
      <c r="L7" s="10"/>
      <c r="M7" s="19"/>
      <c r="N7" s="20"/>
      <c r="O7" s="10"/>
      <c r="P7" s="11"/>
      <c r="Q7" s="27" t="s">
        <v>1</v>
      </c>
      <c r="R7" s="23">
        <f>SUM(O2:O35)</f>
        <v>70000</v>
      </c>
      <c r="S7" s="24"/>
      <c r="T7" s="9">
        <v>1000</v>
      </c>
      <c r="U7" s="9">
        <v>3600</v>
      </c>
      <c r="V7" s="9">
        <v>1000</v>
      </c>
      <c r="W7" s="9">
        <v>4000</v>
      </c>
      <c r="X7" s="9">
        <v>4500</v>
      </c>
      <c r="Y7" s="9">
        <v>2200</v>
      </c>
      <c r="Z7" s="9">
        <v>500</v>
      </c>
      <c r="AA7" s="11"/>
      <c r="AB7" s="68">
        <v>9610</v>
      </c>
      <c r="AC7" s="68">
        <v>1980</v>
      </c>
      <c r="AD7" s="10"/>
      <c r="AE7" s="68">
        <v>2700</v>
      </c>
      <c r="AF7" s="68">
        <v>3500</v>
      </c>
      <c r="AG7" s="68">
        <v>6500</v>
      </c>
      <c r="AH7" s="19"/>
      <c r="AI7" s="20" t="s">
        <v>31</v>
      </c>
      <c r="AJ7" s="10">
        <v>11400</v>
      </c>
      <c r="AK7" s="11"/>
      <c r="AL7" s="27" t="s">
        <v>1</v>
      </c>
      <c r="AM7" s="23">
        <f>SUM(AJ2:AJ35)</f>
        <v>5563800</v>
      </c>
      <c r="AO7" s="9">
        <v>8500</v>
      </c>
      <c r="AP7" s="9">
        <v>6000</v>
      </c>
      <c r="AQ7" s="9">
        <v>2000</v>
      </c>
      <c r="AR7" s="9">
        <v>5000</v>
      </c>
      <c r="AS7" s="9">
        <v>4000</v>
      </c>
      <c r="AT7" s="9">
        <v>4500</v>
      </c>
      <c r="AU7" s="9">
        <v>6000</v>
      </c>
      <c r="AV7" s="11"/>
      <c r="AW7" s="68">
        <v>5600</v>
      </c>
      <c r="AX7" s="68">
        <v>15000</v>
      </c>
      <c r="AY7" s="68">
        <v>21500</v>
      </c>
      <c r="AZ7" s="68">
        <v>17500</v>
      </c>
      <c r="BA7" s="68">
        <v>25000</v>
      </c>
      <c r="BB7" s="68">
        <v>9500</v>
      </c>
      <c r="BC7" s="68">
        <v>4000</v>
      </c>
      <c r="BD7" s="19"/>
      <c r="BE7" s="20" t="s">
        <v>15</v>
      </c>
      <c r="BF7" s="10">
        <v>170000</v>
      </c>
      <c r="BG7" s="11"/>
      <c r="BH7" s="27" t="s">
        <v>1</v>
      </c>
      <c r="BI7" s="23">
        <f>SUM(BF2:BF35)</f>
        <v>3942240</v>
      </c>
      <c r="BK7" s="9">
        <v>28800</v>
      </c>
      <c r="BL7" s="9">
        <v>3000</v>
      </c>
      <c r="BM7" s="9">
        <v>3000</v>
      </c>
      <c r="BN7" s="9">
        <v>3800</v>
      </c>
      <c r="BO7" s="9">
        <v>10500</v>
      </c>
      <c r="BP7" s="9">
        <v>4000</v>
      </c>
      <c r="BQ7" s="9">
        <v>1000</v>
      </c>
      <c r="BR7" s="11"/>
      <c r="BS7" s="68">
        <v>4800</v>
      </c>
      <c r="BT7" s="68">
        <v>30300</v>
      </c>
      <c r="BU7" s="68">
        <v>7850</v>
      </c>
      <c r="BV7" s="68">
        <v>1500</v>
      </c>
      <c r="BW7" s="68">
        <v>6700</v>
      </c>
      <c r="BX7" s="68">
        <v>9000</v>
      </c>
      <c r="BY7" s="19"/>
      <c r="BZ7" s="20" t="s">
        <v>18</v>
      </c>
      <c r="CA7" s="10">
        <v>544800</v>
      </c>
      <c r="CB7" s="11"/>
      <c r="CC7" s="27" t="s">
        <v>1</v>
      </c>
      <c r="CD7" s="23">
        <f>SUM(CA2:CA35)</f>
        <v>4826000</v>
      </c>
      <c r="CF7" s="9">
        <v>54000</v>
      </c>
      <c r="CG7" s="9">
        <v>30000</v>
      </c>
      <c r="CH7" s="9">
        <v>2500</v>
      </c>
      <c r="CI7" s="9">
        <v>8500</v>
      </c>
      <c r="CJ7" s="9">
        <v>1000</v>
      </c>
      <c r="CK7" s="9">
        <v>6000</v>
      </c>
      <c r="CL7" s="9">
        <v>6500</v>
      </c>
      <c r="CM7" s="11"/>
      <c r="CN7" s="68">
        <v>12000</v>
      </c>
      <c r="CO7" s="68">
        <v>8500</v>
      </c>
      <c r="CP7" s="68">
        <v>20320</v>
      </c>
      <c r="CQ7" s="68">
        <v>3000</v>
      </c>
      <c r="CR7" s="68">
        <v>24500</v>
      </c>
      <c r="CS7" s="68">
        <v>21000</v>
      </c>
      <c r="CT7" s="19"/>
      <c r="CU7" s="20" t="s">
        <v>98</v>
      </c>
      <c r="CV7" s="10">
        <v>165000</v>
      </c>
      <c r="CW7" s="11"/>
      <c r="CX7" s="27" t="s">
        <v>1</v>
      </c>
      <c r="CY7" s="69">
        <f>SUM(CV2:CV35)</f>
        <v>2063520</v>
      </c>
      <c r="DA7" s="39" t="s">
        <v>1</v>
      </c>
      <c r="DB7" s="49"/>
      <c r="DC7" s="50">
        <f>SUM(R7,AM7,BI7,CD7,CY7)</f>
        <v>16465560</v>
      </c>
      <c r="DD7" s="51"/>
    </row>
    <row r="8" ht="15" customHeight="1" spans="1:108">
      <c r="A8" s="9">
        <v>6000</v>
      </c>
      <c r="B8" s="9">
        <v>5000</v>
      </c>
      <c r="C8" s="9"/>
      <c r="D8" s="9"/>
      <c r="E8" s="9"/>
      <c r="F8" s="9"/>
      <c r="G8" s="9"/>
      <c r="H8" s="11"/>
      <c r="I8" s="10">
        <v>77240</v>
      </c>
      <c r="J8" s="10"/>
      <c r="K8" s="10">
        <v>4500</v>
      </c>
      <c r="L8" s="10"/>
      <c r="M8" s="19"/>
      <c r="N8" s="20"/>
      <c r="O8" s="10"/>
      <c r="P8" s="11"/>
      <c r="Q8" s="28"/>
      <c r="R8" s="26"/>
      <c r="S8" s="24"/>
      <c r="T8" s="9">
        <v>1700</v>
      </c>
      <c r="U8" s="9">
        <v>1800</v>
      </c>
      <c r="V8" s="9">
        <v>7600</v>
      </c>
      <c r="W8" s="9">
        <v>2000</v>
      </c>
      <c r="X8" s="9">
        <v>1500</v>
      </c>
      <c r="Y8" s="9">
        <v>1000</v>
      </c>
      <c r="Z8" s="9">
        <v>5500</v>
      </c>
      <c r="AA8" s="11"/>
      <c r="AB8" s="68">
        <v>3000</v>
      </c>
      <c r="AC8" s="68">
        <v>4460</v>
      </c>
      <c r="AD8" s="10"/>
      <c r="AE8" s="68">
        <v>800</v>
      </c>
      <c r="AF8" s="68">
        <v>6500</v>
      </c>
      <c r="AG8" s="68">
        <v>5600</v>
      </c>
      <c r="AH8" s="19"/>
      <c r="AI8" s="20" t="s">
        <v>42</v>
      </c>
      <c r="AJ8" s="10">
        <v>48300</v>
      </c>
      <c r="AK8" s="11"/>
      <c r="AL8" s="28"/>
      <c r="AM8" s="26"/>
      <c r="AO8" s="9">
        <v>3000</v>
      </c>
      <c r="AP8" s="9">
        <v>20100</v>
      </c>
      <c r="AQ8" s="9">
        <v>4500</v>
      </c>
      <c r="AR8" s="9">
        <v>1500</v>
      </c>
      <c r="AS8" s="9">
        <v>2000</v>
      </c>
      <c r="AT8" s="9">
        <v>1000</v>
      </c>
      <c r="AU8" s="9">
        <v>6000</v>
      </c>
      <c r="AV8" s="11"/>
      <c r="AW8" s="68">
        <v>1920</v>
      </c>
      <c r="AX8" s="68">
        <v>3500</v>
      </c>
      <c r="AY8" s="68">
        <v>3560</v>
      </c>
      <c r="AZ8" s="68">
        <v>14000</v>
      </c>
      <c r="BA8" s="68">
        <v>16500</v>
      </c>
      <c r="BB8" s="68">
        <v>5000</v>
      </c>
      <c r="BC8" s="68">
        <v>40700</v>
      </c>
      <c r="BD8" s="19"/>
      <c r="BE8" s="20" t="s">
        <v>15</v>
      </c>
      <c r="BF8" s="10">
        <v>490300</v>
      </c>
      <c r="BG8" s="11"/>
      <c r="BH8" s="28"/>
      <c r="BI8" s="26"/>
      <c r="BK8" s="9">
        <v>4000</v>
      </c>
      <c r="BL8" s="9">
        <v>20500</v>
      </c>
      <c r="BM8" s="9">
        <v>500</v>
      </c>
      <c r="BN8" s="9">
        <v>2000</v>
      </c>
      <c r="BO8" s="9">
        <v>8000</v>
      </c>
      <c r="BP8" s="9">
        <v>3500</v>
      </c>
      <c r="BQ8" s="9">
        <v>8000</v>
      </c>
      <c r="BR8" s="11"/>
      <c r="BS8" s="68">
        <v>17870</v>
      </c>
      <c r="BT8" s="68">
        <v>5760</v>
      </c>
      <c r="BU8" s="68">
        <v>13000</v>
      </c>
      <c r="BV8" s="68">
        <v>1000</v>
      </c>
      <c r="BW8" s="68">
        <v>15000</v>
      </c>
      <c r="BX8" s="10"/>
      <c r="BY8" s="19"/>
      <c r="BZ8" s="20" t="s">
        <v>129</v>
      </c>
      <c r="CA8" s="10">
        <v>146000</v>
      </c>
      <c r="CB8" s="11"/>
      <c r="CC8" s="28"/>
      <c r="CD8" s="26"/>
      <c r="CF8" s="9">
        <v>48000</v>
      </c>
      <c r="CG8" s="9">
        <v>600</v>
      </c>
      <c r="CH8" s="9">
        <v>7100</v>
      </c>
      <c r="CI8" s="9">
        <v>7500</v>
      </c>
      <c r="CJ8" s="9">
        <v>2000</v>
      </c>
      <c r="CK8" s="9">
        <v>45000</v>
      </c>
      <c r="CL8" s="9">
        <v>2000</v>
      </c>
      <c r="CM8" s="11"/>
      <c r="CN8" s="68">
        <v>3500</v>
      </c>
      <c r="CO8" s="68">
        <v>5000</v>
      </c>
      <c r="CP8" s="68">
        <v>8780</v>
      </c>
      <c r="CQ8" s="68">
        <v>1200</v>
      </c>
      <c r="CR8" s="68">
        <v>8000</v>
      </c>
      <c r="CS8" s="68">
        <v>22300</v>
      </c>
      <c r="CT8" s="19"/>
      <c r="CU8" s="20" t="s">
        <v>130</v>
      </c>
      <c r="CV8" s="10">
        <v>44550</v>
      </c>
      <c r="CW8" s="11"/>
      <c r="CX8" s="28"/>
      <c r="CY8" s="70"/>
      <c r="DA8" s="40"/>
      <c r="DB8" s="52"/>
      <c r="DC8" s="53"/>
      <c r="DD8" s="54"/>
    </row>
    <row r="9" ht="15" customHeight="1" spans="1:108">
      <c r="A9" s="9">
        <v>3000</v>
      </c>
      <c r="B9" s="9">
        <v>12500</v>
      </c>
      <c r="C9" s="9"/>
      <c r="D9" s="9"/>
      <c r="E9" s="9"/>
      <c r="F9" s="9"/>
      <c r="G9" s="9"/>
      <c r="H9" s="11"/>
      <c r="I9" s="10">
        <v>25300</v>
      </c>
      <c r="J9" s="10"/>
      <c r="K9" s="10">
        <v>2400</v>
      </c>
      <c r="L9" s="10"/>
      <c r="M9" s="19"/>
      <c r="N9" s="20"/>
      <c r="O9" s="10"/>
      <c r="P9" s="11"/>
      <c r="Q9" s="29" t="s">
        <v>33</v>
      </c>
      <c r="R9" s="30">
        <f>R3+R5</f>
        <v>1045280</v>
      </c>
      <c r="S9" s="24"/>
      <c r="T9" s="9">
        <v>1000</v>
      </c>
      <c r="U9" s="9">
        <v>6500</v>
      </c>
      <c r="V9" s="9">
        <v>600</v>
      </c>
      <c r="W9" s="9">
        <v>11500</v>
      </c>
      <c r="X9" s="9">
        <v>1500</v>
      </c>
      <c r="Y9" s="9">
        <v>20900</v>
      </c>
      <c r="Z9" s="9">
        <v>1600</v>
      </c>
      <c r="AA9" s="11"/>
      <c r="AB9" s="68">
        <v>17580</v>
      </c>
      <c r="AC9" s="68">
        <v>10570</v>
      </c>
      <c r="AD9" s="10"/>
      <c r="AE9" s="68">
        <v>9500</v>
      </c>
      <c r="AF9" s="68">
        <v>5000</v>
      </c>
      <c r="AG9" s="68">
        <v>9000</v>
      </c>
      <c r="AH9" s="19"/>
      <c r="AI9" s="20" t="s">
        <v>131</v>
      </c>
      <c r="AJ9" s="10">
        <v>18200</v>
      </c>
      <c r="AK9" s="11"/>
      <c r="AL9" s="29" t="s">
        <v>33</v>
      </c>
      <c r="AM9" s="30">
        <f>AM3+AM5</f>
        <v>3802240</v>
      </c>
      <c r="AO9" s="9">
        <v>8900</v>
      </c>
      <c r="AP9" s="9">
        <v>10700</v>
      </c>
      <c r="AQ9" s="9">
        <v>3700</v>
      </c>
      <c r="AR9" s="9">
        <v>400</v>
      </c>
      <c r="AS9" s="9">
        <v>6500</v>
      </c>
      <c r="AT9" s="9">
        <v>109500</v>
      </c>
      <c r="AU9" s="9">
        <v>5000</v>
      </c>
      <c r="AV9" s="11"/>
      <c r="AW9" s="68">
        <v>5080</v>
      </c>
      <c r="AX9" s="68">
        <v>17000</v>
      </c>
      <c r="AY9" s="68">
        <v>29000</v>
      </c>
      <c r="AZ9" s="68">
        <v>3300</v>
      </c>
      <c r="BA9" s="68">
        <v>69000</v>
      </c>
      <c r="BB9" s="68">
        <v>4500</v>
      </c>
      <c r="BC9" s="68">
        <v>9200</v>
      </c>
      <c r="BD9" s="19"/>
      <c r="BE9" s="20" t="s">
        <v>88</v>
      </c>
      <c r="BF9" s="10">
        <v>71000</v>
      </c>
      <c r="BG9" s="11"/>
      <c r="BH9" s="29" t="s">
        <v>33</v>
      </c>
      <c r="BI9" s="30">
        <f>BI3+BI5</f>
        <v>4925040</v>
      </c>
      <c r="BK9" s="9">
        <v>8000</v>
      </c>
      <c r="BL9" s="9">
        <v>9800</v>
      </c>
      <c r="BM9" s="9">
        <v>13000</v>
      </c>
      <c r="BN9" s="9">
        <v>1200</v>
      </c>
      <c r="BO9" s="9">
        <v>1000</v>
      </c>
      <c r="BP9" s="9">
        <v>10000</v>
      </c>
      <c r="BQ9" s="9">
        <v>14400</v>
      </c>
      <c r="BR9" s="11"/>
      <c r="BS9" s="68">
        <v>990</v>
      </c>
      <c r="BT9" s="68">
        <v>5000</v>
      </c>
      <c r="BU9" s="68">
        <v>4950</v>
      </c>
      <c r="BV9" s="68">
        <v>28000</v>
      </c>
      <c r="BW9" s="68">
        <v>4500</v>
      </c>
      <c r="BX9" s="10"/>
      <c r="BY9" s="19"/>
      <c r="BZ9" s="20" t="s">
        <v>129</v>
      </c>
      <c r="CA9" s="10">
        <v>146250</v>
      </c>
      <c r="CB9" s="11"/>
      <c r="CC9" s="29" t="s">
        <v>33</v>
      </c>
      <c r="CD9" s="30">
        <f>CD3+CD5</f>
        <v>3715270</v>
      </c>
      <c r="CF9" s="9">
        <v>4000</v>
      </c>
      <c r="CG9" s="9">
        <v>1000</v>
      </c>
      <c r="CH9" s="9">
        <v>2000</v>
      </c>
      <c r="CI9" s="9">
        <v>5000</v>
      </c>
      <c r="CJ9" s="9">
        <v>2750</v>
      </c>
      <c r="CK9" s="9">
        <v>6000</v>
      </c>
      <c r="CL9" s="9">
        <v>500</v>
      </c>
      <c r="CM9" s="11"/>
      <c r="CN9" s="68">
        <v>28000</v>
      </c>
      <c r="CO9" s="68">
        <v>10000</v>
      </c>
      <c r="CP9" s="68">
        <v>5940</v>
      </c>
      <c r="CQ9" s="68">
        <v>18000</v>
      </c>
      <c r="CR9" s="68">
        <v>900</v>
      </c>
      <c r="CS9" s="68">
        <v>6000</v>
      </c>
      <c r="CT9" s="19"/>
      <c r="CU9" s="20" t="s">
        <v>38</v>
      </c>
      <c r="CV9" s="10">
        <v>32440</v>
      </c>
      <c r="CW9" s="11"/>
      <c r="CX9" s="29" t="s">
        <v>33</v>
      </c>
      <c r="CY9" s="71">
        <f>CY3+CY5</f>
        <v>3778180</v>
      </c>
      <c r="DA9" s="41" t="s">
        <v>33</v>
      </c>
      <c r="DB9" s="55"/>
      <c r="DC9" s="56">
        <f>DC3+DC5</f>
        <v>17266010</v>
      </c>
      <c r="DD9" s="57"/>
    </row>
    <row r="10" ht="15" customHeight="1" spans="1:108">
      <c r="A10" s="9">
        <v>2500</v>
      </c>
      <c r="B10" s="9"/>
      <c r="C10" s="9"/>
      <c r="D10" s="9"/>
      <c r="E10" s="9"/>
      <c r="F10" s="9"/>
      <c r="G10" s="9"/>
      <c r="H10" s="11"/>
      <c r="I10" s="10">
        <v>1000</v>
      </c>
      <c r="J10" s="10"/>
      <c r="K10" s="10">
        <v>100</v>
      </c>
      <c r="L10" s="10"/>
      <c r="M10" s="19"/>
      <c r="N10" s="20"/>
      <c r="O10" s="10"/>
      <c r="P10" s="11"/>
      <c r="Q10" s="29" t="s">
        <v>36</v>
      </c>
      <c r="R10" s="30">
        <f>R1+R3+R5-R7+R15+R16</f>
        <v>975280</v>
      </c>
      <c r="S10" s="24"/>
      <c r="T10" s="9">
        <v>8500</v>
      </c>
      <c r="U10" s="9">
        <v>3000</v>
      </c>
      <c r="V10" s="9">
        <v>3500</v>
      </c>
      <c r="W10" s="9">
        <v>6500</v>
      </c>
      <c r="X10" s="9">
        <v>6000</v>
      </c>
      <c r="Y10" s="9">
        <v>2000</v>
      </c>
      <c r="Z10" s="9">
        <v>800</v>
      </c>
      <c r="AA10" s="11"/>
      <c r="AB10" s="68">
        <v>14890</v>
      </c>
      <c r="AC10" s="68">
        <v>1500</v>
      </c>
      <c r="AD10" s="10"/>
      <c r="AE10" s="68">
        <v>2500</v>
      </c>
      <c r="AF10" s="68">
        <v>20000</v>
      </c>
      <c r="AG10" s="68">
        <v>9000</v>
      </c>
      <c r="AH10" s="19"/>
      <c r="AI10" s="20" t="s">
        <v>101</v>
      </c>
      <c r="AJ10" s="10">
        <v>150000</v>
      </c>
      <c r="AK10" s="11"/>
      <c r="AL10" s="29" t="s">
        <v>36</v>
      </c>
      <c r="AM10" s="30">
        <f>AM1+AM3+AM5-AM7+AM15+AM16</f>
        <v>-1168830</v>
      </c>
      <c r="AO10" s="9">
        <v>21000</v>
      </c>
      <c r="AP10" s="9">
        <v>1200</v>
      </c>
      <c r="AQ10" s="9">
        <v>2000</v>
      </c>
      <c r="AR10" s="9">
        <v>1500</v>
      </c>
      <c r="AS10" s="9">
        <v>6000</v>
      </c>
      <c r="AT10" s="9">
        <v>2800</v>
      </c>
      <c r="AU10" s="9">
        <v>3000</v>
      </c>
      <c r="AV10" s="11"/>
      <c r="AW10" s="68">
        <v>10000</v>
      </c>
      <c r="AX10" s="68">
        <v>14000</v>
      </c>
      <c r="AY10" s="68">
        <v>7300</v>
      </c>
      <c r="AZ10" s="68">
        <v>1500</v>
      </c>
      <c r="BA10" s="68">
        <v>55000</v>
      </c>
      <c r="BB10" s="68">
        <v>5000</v>
      </c>
      <c r="BC10" s="68">
        <v>18000</v>
      </c>
      <c r="BD10" s="19"/>
      <c r="BE10" s="20" t="s">
        <v>31</v>
      </c>
      <c r="BF10" s="10">
        <v>36000</v>
      </c>
      <c r="BG10" s="11"/>
      <c r="BH10" s="29" t="s">
        <v>36</v>
      </c>
      <c r="BI10" s="30">
        <f>BI1+BI3+BI5-BI7+BI15+BI16</f>
        <v>1298710</v>
      </c>
      <c r="BK10" s="9">
        <v>2000</v>
      </c>
      <c r="BL10" s="9">
        <v>500</v>
      </c>
      <c r="BM10" s="9">
        <v>12000</v>
      </c>
      <c r="BN10" s="9">
        <v>10000</v>
      </c>
      <c r="BO10" s="9">
        <v>16000</v>
      </c>
      <c r="BP10" s="9">
        <v>4000</v>
      </c>
      <c r="BQ10" s="9">
        <v>2500</v>
      </c>
      <c r="BR10" s="11"/>
      <c r="BS10" s="68">
        <v>6470</v>
      </c>
      <c r="BT10" s="68">
        <v>5000</v>
      </c>
      <c r="BU10" s="68">
        <v>82830</v>
      </c>
      <c r="BV10" s="68">
        <v>23900</v>
      </c>
      <c r="BW10" s="68">
        <v>3700</v>
      </c>
      <c r="BX10" s="10"/>
      <c r="BY10" s="19"/>
      <c r="BZ10" s="20" t="s">
        <v>4</v>
      </c>
      <c r="CA10" s="10">
        <v>140000</v>
      </c>
      <c r="CB10" s="11"/>
      <c r="CC10" s="29" t="s">
        <v>36</v>
      </c>
      <c r="CD10" s="30">
        <f>CD1+CD3+CD5-CD7+CD15+CD16</f>
        <v>-1110730</v>
      </c>
      <c r="CF10" s="9">
        <v>40000</v>
      </c>
      <c r="CG10" s="9">
        <v>18000</v>
      </c>
      <c r="CH10" s="9">
        <v>2000</v>
      </c>
      <c r="CI10" s="9">
        <v>2000</v>
      </c>
      <c r="CJ10" s="9">
        <v>1000</v>
      </c>
      <c r="CK10" s="9">
        <v>5000</v>
      </c>
      <c r="CL10" s="9">
        <v>13000</v>
      </c>
      <c r="CM10" s="11"/>
      <c r="CN10" s="68">
        <v>53500</v>
      </c>
      <c r="CO10" s="68">
        <v>4500</v>
      </c>
      <c r="CP10" s="68">
        <v>17580</v>
      </c>
      <c r="CQ10" s="68">
        <v>5000</v>
      </c>
      <c r="CR10" s="68">
        <v>12200</v>
      </c>
      <c r="CS10" s="68">
        <v>11600</v>
      </c>
      <c r="CT10" s="19"/>
      <c r="CU10" s="20" t="s">
        <v>116</v>
      </c>
      <c r="CV10" s="10">
        <v>190000</v>
      </c>
      <c r="CW10" s="11"/>
      <c r="CX10" s="29" t="s">
        <v>36</v>
      </c>
      <c r="CY10" s="71">
        <f>CY1+CY3+CY5-CY7+CY15+CY16</f>
        <v>1714660</v>
      </c>
      <c r="DA10" s="42"/>
      <c r="DB10" s="58"/>
      <c r="DC10" s="59"/>
      <c r="DD10" s="60"/>
    </row>
    <row r="11" ht="15" customHeight="1" spans="1:108">
      <c r="A11" s="9">
        <v>30000</v>
      </c>
      <c r="B11" s="9"/>
      <c r="C11" s="9"/>
      <c r="D11" s="9"/>
      <c r="E11" s="9"/>
      <c r="F11" s="9"/>
      <c r="G11" s="9"/>
      <c r="H11" s="11"/>
      <c r="I11" s="10">
        <v>31000</v>
      </c>
      <c r="J11" s="10"/>
      <c r="K11" s="10">
        <v>4400</v>
      </c>
      <c r="L11" s="10"/>
      <c r="M11" s="19"/>
      <c r="N11" s="20"/>
      <c r="O11" s="10"/>
      <c r="P11" s="11"/>
      <c r="Q11" s="29" t="s">
        <v>40</v>
      </c>
      <c r="R11" s="30">
        <f>R9/7</f>
        <v>149325.714285714</v>
      </c>
      <c r="S11" s="24"/>
      <c r="T11" s="9">
        <v>2500</v>
      </c>
      <c r="U11" s="9">
        <v>19000</v>
      </c>
      <c r="V11" s="9">
        <v>7000</v>
      </c>
      <c r="W11" s="9">
        <v>4100</v>
      </c>
      <c r="X11" s="9">
        <v>5500</v>
      </c>
      <c r="Y11" s="9">
        <v>3750</v>
      </c>
      <c r="Z11" s="9">
        <v>2000</v>
      </c>
      <c r="AA11" s="11"/>
      <c r="AB11" s="68">
        <v>14850</v>
      </c>
      <c r="AC11" s="68">
        <v>13300</v>
      </c>
      <c r="AD11" s="10"/>
      <c r="AE11" s="68">
        <v>5500</v>
      </c>
      <c r="AF11" s="68">
        <v>1800</v>
      </c>
      <c r="AG11" s="68">
        <v>3000</v>
      </c>
      <c r="AH11" s="19"/>
      <c r="AI11" s="20" t="s">
        <v>101</v>
      </c>
      <c r="AJ11" s="10">
        <v>174700</v>
      </c>
      <c r="AK11" s="11"/>
      <c r="AL11" s="29" t="s">
        <v>40</v>
      </c>
      <c r="AM11" s="30">
        <f>AM9/7</f>
        <v>543177.142857143</v>
      </c>
      <c r="AO11" s="9">
        <v>17000</v>
      </c>
      <c r="AP11" s="9">
        <v>1500</v>
      </c>
      <c r="AQ11" s="9">
        <v>3000</v>
      </c>
      <c r="AR11" s="9">
        <v>12500</v>
      </c>
      <c r="AS11" s="9">
        <v>11500</v>
      </c>
      <c r="AT11" s="9">
        <v>4500</v>
      </c>
      <c r="AU11" s="9">
        <v>3000</v>
      </c>
      <c r="AV11" s="11"/>
      <c r="AW11" s="68">
        <v>31700</v>
      </c>
      <c r="AX11" s="68">
        <v>11530</v>
      </c>
      <c r="AY11" s="68">
        <v>1540</v>
      </c>
      <c r="AZ11" s="68">
        <v>4500</v>
      </c>
      <c r="BA11" s="68">
        <v>3000</v>
      </c>
      <c r="BB11" s="68">
        <v>13000</v>
      </c>
      <c r="BC11" s="68">
        <v>25500</v>
      </c>
      <c r="BD11" s="19"/>
      <c r="BE11" s="20" t="s">
        <v>34</v>
      </c>
      <c r="BF11" s="10">
        <v>80000</v>
      </c>
      <c r="BG11" s="11"/>
      <c r="BH11" s="29" t="s">
        <v>40</v>
      </c>
      <c r="BI11" s="30">
        <f>BI9/7</f>
        <v>703577.142857143</v>
      </c>
      <c r="BK11" s="9">
        <v>3500</v>
      </c>
      <c r="BL11" s="9">
        <v>800</v>
      </c>
      <c r="BM11" s="9">
        <v>4500</v>
      </c>
      <c r="BN11" s="9">
        <v>44500</v>
      </c>
      <c r="BO11" s="9">
        <v>4000</v>
      </c>
      <c r="BP11" s="9">
        <v>1500</v>
      </c>
      <c r="BQ11" s="9">
        <v>17000</v>
      </c>
      <c r="BR11" s="11"/>
      <c r="BS11" s="68">
        <v>16000</v>
      </c>
      <c r="BT11" s="68">
        <v>1500</v>
      </c>
      <c r="BU11" s="68">
        <v>18300</v>
      </c>
      <c r="BV11" s="68">
        <v>6100</v>
      </c>
      <c r="BW11" s="68">
        <v>5000</v>
      </c>
      <c r="BX11" s="10"/>
      <c r="BY11" s="19"/>
      <c r="BZ11" s="20" t="s">
        <v>56</v>
      </c>
      <c r="CA11" s="10">
        <v>550000</v>
      </c>
      <c r="CB11" s="11"/>
      <c r="CC11" s="29" t="s">
        <v>40</v>
      </c>
      <c r="CD11" s="30">
        <f>CD9/7</f>
        <v>530752.857142857</v>
      </c>
      <c r="CF11" s="9">
        <v>6000</v>
      </c>
      <c r="CG11" s="9">
        <v>3000</v>
      </c>
      <c r="CH11" s="9">
        <v>5000</v>
      </c>
      <c r="CI11" s="9">
        <v>3000</v>
      </c>
      <c r="CJ11" s="9">
        <v>9000</v>
      </c>
      <c r="CK11" s="9">
        <v>16000</v>
      </c>
      <c r="CL11" s="9">
        <v>2000</v>
      </c>
      <c r="CM11" s="11"/>
      <c r="CN11" s="68">
        <v>7000</v>
      </c>
      <c r="CO11" s="68">
        <v>9000</v>
      </c>
      <c r="CP11" s="68">
        <v>2500</v>
      </c>
      <c r="CQ11" s="68">
        <v>12500</v>
      </c>
      <c r="CR11" s="68">
        <v>4500</v>
      </c>
      <c r="CS11" s="68">
        <v>9000</v>
      </c>
      <c r="CT11" s="19"/>
      <c r="CU11" s="20"/>
      <c r="CV11" s="10"/>
      <c r="CW11" s="11"/>
      <c r="CX11" s="29" t="s">
        <v>40</v>
      </c>
      <c r="CY11" s="71">
        <f>CY9/7</f>
        <v>539740</v>
      </c>
      <c r="DA11" s="43" t="s">
        <v>36</v>
      </c>
      <c r="DB11" s="61"/>
      <c r="DC11" s="62">
        <f>DC9-DC7</f>
        <v>800450</v>
      </c>
      <c r="DD11" s="63"/>
    </row>
    <row r="12" ht="15" customHeight="1" spans="1:108">
      <c r="A12" s="9">
        <v>10000</v>
      </c>
      <c r="B12" s="9"/>
      <c r="C12" s="9"/>
      <c r="D12" s="9"/>
      <c r="E12" s="9"/>
      <c r="F12" s="9"/>
      <c r="G12" s="9"/>
      <c r="H12" s="11"/>
      <c r="I12" s="10">
        <v>8000</v>
      </c>
      <c r="J12" s="10"/>
      <c r="K12" s="10">
        <v>3200</v>
      </c>
      <c r="L12" s="10"/>
      <c r="M12" s="19"/>
      <c r="N12" s="20"/>
      <c r="O12" s="10"/>
      <c r="P12" s="11"/>
      <c r="Q12" s="24"/>
      <c r="R12" s="24"/>
      <c r="S12" s="24"/>
      <c r="T12" s="9">
        <v>20500</v>
      </c>
      <c r="U12" s="9">
        <v>6000</v>
      </c>
      <c r="V12" s="9">
        <v>1000</v>
      </c>
      <c r="W12" s="9">
        <v>5500</v>
      </c>
      <c r="X12" s="9">
        <v>1000</v>
      </c>
      <c r="Y12" s="9">
        <v>2500</v>
      </c>
      <c r="Z12" s="9">
        <v>3600</v>
      </c>
      <c r="AA12" s="11"/>
      <c r="AB12" s="68">
        <v>4500</v>
      </c>
      <c r="AC12" s="68">
        <v>4320</v>
      </c>
      <c r="AD12" s="10"/>
      <c r="AE12" s="68">
        <v>28000</v>
      </c>
      <c r="AF12" s="68">
        <v>24000</v>
      </c>
      <c r="AG12" s="68">
        <v>30000</v>
      </c>
      <c r="AH12" s="19"/>
      <c r="AI12" s="20" t="s">
        <v>51</v>
      </c>
      <c r="AJ12" s="10">
        <v>100000</v>
      </c>
      <c r="AK12" s="11"/>
      <c r="AL12" s="24"/>
      <c r="AM12" s="24"/>
      <c r="AO12" s="9">
        <v>11400</v>
      </c>
      <c r="AP12" s="9">
        <v>14000</v>
      </c>
      <c r="AQ12" s="9">
        <v>1300</v>
      </c>
      <c r="AR12" s="9">
        <v>4500</v>
      </c>
      <c r="AS12" s="9">
        <v>3500</v>
      </c>
      <c r="AT12" s="9">
        <v>2000</v>
      </c>
      <c r="AU12" s="9">
        <v>3500</v>
      </c>
      <c r="AV12" s="11"/>
      <c r="AW12" s="68">
        <v>6000</v>
      </c>
      <c r="AX12" s="68">
        <v>7010</v>
      </c>
      <c r="AY12" s="68">
        <v>4800</v>
      </c>
      <c r="AZ12" s="68">
        <v>2300</v>
      </c>
      <c r="BA12" s="68">
        <v>6000</v>
      </c>
      <c r="BB12" s="68">
        <v>11500</v>
      </c>
      <c r="BC12" s="68">
        <v>35000</v>
      </c>
      <c r="BD12" s="19"/>
      <c r="BE12" s="20" t="s">
        <v>100</v>
      </c>
      <c r="BF12" s="10">
        <v>108800</v>
      </c>
      <c r="BG12" s="11"/>
      <c r="BH12" s="72">
        <v>241090</v>
      </c>
      <c r="BI12" s="72">
        <v>490300</v>
      </c>
      <c r="BK12" s="9">
        <v>2200</v>
      </c>
      <c r="BL12" s="9">
        <v>3300</v>
      </c>
      <c r="BM12" s="9">
        <v>800</v>
      </c>
      <c r="BN12" s="9">
        <v>2500</v>
      </c>
      <c r="BO12" s="9">
        <v>1000</v>
      </c>
      <c r="BP12" s="9">
        <v>3000</v>
      </c>
      <c r="BQ12" s="9">
        <v>4000</v>
      </c>
      <c r="BR12" s="11"/>
      <c r="BS12" s="68">
        <v>6000</v>
      </c>
      <c r="BT12" s="68">
        <v>2500</v>
      </c>
      <c r="BU12" s="68">
        <v>5000</v>
      </c>
      <c r="BV12" s="68">
        <v>2000</v>
      </c>
      <c r="BW12" s="68">
        <v>18000</v>
      </c>
      <c r="BX12" s="10"/>
      <c r="BY12" s="19"/>
      <c r="BZ12" s="20" t="s">
        <v>132</v>
      </c>
      <c r="CA12" s="10">
        <v>80000</v>
      </c>
      <c r="CB12" s="11"/>
      <c r="CC12" s="24"/>
      <c r="CD12" s="31">
        <v>250000</v>
      </c>
      <c r="CE12" s="24"/>
      <c r="CF12" s="9">
        <v>5600</v>
      </c>
      <c r="CG12" s="9">
        <v>1500</v>
      </c>
      <c r="CH12" s="9">
        <v>13000</v>
      </c>
      <c r="CI12" s="9">
        <v>15000</v>
      </c>
      <c r="CJ12" s="9">
        <v>1500</v>
      </c>
      <c r="CK12" s="9">
        <v>14500</v>
      </c>
      <c r="CL12" s="9">
        <v>16400</v>
      </c>
      <c r="CM12" s="11"/>
      <c r="CN12" s="68">
        <v>4000</v>
      </c>
      <c r="CO12" s="68">
        <v>2000</v>
      </c>
      <c r="CP12" s="68">
        <v>24390</v>
      </c>
      <c r="CQ12" s="68">
        <v>8000</v>
      </c>
      <c r="CR12" s="68">
        <v>27000</v>
      </c>
      <c r="CS12" s="68">
        <v>1200</v>
      </c>
      <c r="CT12" s="19"/>
      <c r="CU12" s="20"/>
      <c r="CV12" s="10"/>
      <c r="CW12" s="11"/>
      <c r="CX12" s="24"/>
      <c r="CY12" s="24">
        <v>50000</v>
      </c>
      <c r="DA12" s="44"/>
      <c r="DB12" s="64"/>
      <c r="DC12" s="65"/>
      <c r="DD12" s="66"/>
    </row>
    <row r="13" spans="1:103">
      <c r="A13" s="9">
        <v>14000</v>
      </c>
      <c r="B13" s="9"/>
      <c r="C13" s="9"/>
      <c r="D13" s="9"/>
      <c r="E13" s="9"/>
      <c r="F13" s="9"/>
      <c r="G13" s="9"/>
      <c r="H13" s="11"/>
      <c r="I13" s="10">
        <v>23000</v>
      </c>
      <c r="J13" s="10"/>
      <c r="K13" s="10"/>
      <c r="L13" s="10"/>
      <c r="M13" s="19"/>
      <c r="N13" s="20"/>
      <c r="O13" s="10"/>
      <c r="P13" s="11"/>
      <c r="Q13" s="24"/>
      <c r="R13" s="31"/>
      <c r="S13" s="24"/>
      <c r="T13" s="9">
        <v>22200</v>
      </c>
      <c r="U13" s="9">
        <v>5000</v>
      </c>
      <c r="V13" s="9">
        <v>2000</v>
      </c>
      <c r="W13" s="9">
        <v>6000</v>
      </c>
      <c r="X13" s="9">
        <v>22500</v>
      </c>
      <c r="Y13" s="9">
        <v>8500</v>
      </c>
      <c r="Z13" s="9">
        <v>7000</v>
      </c>
      <c r="AA13" s="11"/>
      <c r="AB13" s="68">
        <v>5760</v>
      </c>
      <c r="AC13" s="68">
        <v>3300</v>
      </c>
      <c r="AD13" s="10"/>
      <c r="AE13" s="68">
        <v>5500</v>
      </c>
      <c r="AF13" s="68">
        <v>1800</v>
      </c>
      <c r="AG13" s="68">
        <v>11500</v>
      </c>
      <c r="AH13" s="19"/>
      <c r="AI13" s="20" t="s">
        <v>28</v>
      </c>
      <c r="AJ13" s="10">
        <v>700000</v>
      </c>
      <c r="AK13" s="11"/>
      <c r="AL13" s="24"/>
      <c r="AM13" s="31">
        <v>1044000</v>
      </c>
      <c r="AO13" s="9">
        <v>1500</v>
      </c>
      <c r="AP13" s="9">
        <v>2200</v>
      </c>
      <c r="AQ13" s="9">
        <v>3500</v>
      </c>
      <c r="AR13" s="9">
        <v>5000</v>
      </c>
      <c r="AS13" s="9">
        <v>16500</v>
      </c>
      <c r="AT13" s="9">
        <v>4500</v>
      </c>
      <c r="AU13" s="9">
        <v>17500</v>
      </c>
      <c r="AV13" s="11"/>
      <c r="AW13" s="68">
        <v>89600</v>
      </c>
      <c r="AX13" s="68">
        <v>18000</v>
      </c>
      <c r="AY13" s="68">
        <v>9600</v>
      </c>
      <c r="AZ13" s="10"/>
      <c r="BA13" s="68">
        <v>43000</v>
      </c>
      <c r="BB13" s="68">
        <v>33500</v>
      </c>
      <c r="BC13" s="68">
        <v>30000</v>
      </c>
      <c r="BD13" s="19"/>
      <c r="BE13" s="20" t="s">
        <v>44</v>
      </c>
      <c r="BF13" s="10">
        <v>171180</v>
      </c>
      <c r="BG13" s="11"/>
      <c r="BH13" s="72">
        <v>315820</v>
      </c>
      <c r="BI13" s="72">
        <v>60000</v>
      </c>
      <c r="BK13" s="9">
        <v>7500</v>
      </c>
      <c r="BL13" s="9">
        <v>2000</v>
      </c>
      <c r="BM13" s="9">
        <v>1600</v>
      </c>
      <c r="BN13" s="9">
        <v>8500</v>
      </c>
      <c r="BO13" s="9">
        <v>7500</v>
      </c>
      <c r="BP13" s="9">
        <v>2000</v>
      </c>
      <c r="BQ13" s="9">
        <v>3000</v>
      </c>
      <c r="BR13" s="11"/>
      <c r="BS13" s="68">
        <v>3500</v>
      </c>
      <c r="BT13" s="68">
        <v>2500</v>
      </c>
      <c r="BU13" s="68">
        <v>16810</v>
      </c>
      <c r="BV13" s="68">
        <v>33000</v>
      </c>
      <c r="BW13" s="68">
        <v>2500</v>
      </c>
      <c r="BX13" s="10"/>
      <c r="BY13" s="19"/>
      <c r="BZ13" s="20" t="s">
        <v>14</v>
      </c>
      <c r="CA13" s="10">
        <v>950200</v>
      </c>
      <c r="CB13" s="11"/>
      <c r="CC13" s="24"/>
      <c r="CD13" s="31">
        <v>466050</v>
      </c>
      <c r="CE13" s="31"/>
      <c r="CF13" s="9">
        <v>12000</v>
      </c>
      <c r="CG13" s="9">
        <v>2500</v>
      </c>
      <c r="CH13" s="9">
        <v>9000</v>
      </c>
      <c r="CI13" s="9">
        <v>3500</v>
      </c>
      <c r="CJ13" s="9">
        <v>17000</v>
      </c>
      <c r="CK13" s="9">
        <v>2000</v>
      </c>
      <c r="CL13" s="9">
        <v>3000</v>
      </c>
      <c r="CM13" s="11"/>
      <c r="CN13" s="68">
        <v>10000</v>
      </c>
      <c r="CO13" s="68">
        <v>25000</v>
      </c>
      <c r="CP13" s="68">
        <v>12970</v>
      </c>
      <c r="CQ13" s="68">
        <v>15000</v>
      </c>
      <c r="CR13" s="68">
        <v>15000</v>
      </c>
      <c r="CS13" s="68">
        <v>1500</v>
      </c>
      <c r="CT13" s="19"/>
      <c r="CU13" s="20"/>
      <c r="CV13" s="10"/>
      <c r="CW13" s="11"/>
      <c r="CX13" s="24"/>
      <c r="CY13" s="31">
        <v>101050</v>
      </c>
    </row>
    <row r="14" spans="1:103">
      <c r="A14" s="9">
        <v>10000</v>
      </c>
      <c r="B14" s="9"/>
      <c r="C14" s="9"/>
      <c r="D14" s="9"/>
      <c r="E14" s="9"/>
      <c r="F14" s="9"/>
      <c r="G14" s="9"/>
      <c r="H14" s="11"/>
      <c r="I14" s="10">
        <v>18000</v>
      </c>
      <c r="J14" s="10"/>
      <c r="K14" s="10"/>
      <c r="L14" s="10"/>
      <c r="M14" s="19"/>
      <c r="N14" s="20"/>
      <c r="O14" s="10"/>
      <c r="P14" s="11"/>
      <c r="Q14" s="24"/>
      <c r="R14" s="24">
        <v>8950</v>
      </c>
      <c r="S14" s="24"/>
      <c r="T14" s="9">
        <v>7000</v>
      </c>
      <c r="U14" s="9">
        <v>16000</v>
      </c>
      <c r="V14" s="9">
        <v>15000</v>
      </c>
      <c r="W14" s="9">
        <v>52000</v>
      </c>
      <c r="X14" s="9">
        <v>1500</v>
      </c>
      <c r="Y14" s="9">
        <v>200</v>
      </c>
      <c r="Z14" s="9">
        <v>1500</v>
      </c>
      <c r="AA14" s="11"/>
      <c r="AB14" s="68">
        <v>25000</v>
      </c>
      <c r="AC14" s="68">
        <v>5700</v>
      </c>
      <c r="AD14" s="10"/>
      <c r="AE14" s="68">
        <v>4000</v>
      </c>
      <c r="AF14" s="68">
        <v>6000</v>
      </c>
      <c r="AG14" s="68">
        <v>3200</v>
      </c>
      <c r="AH14" s="19"/>
      <c r="AI14" s="20" t="s">
        <v>28</v>
      </c>
      <c r="AJ14" s="10">
        <v>1044000</v>
      </c>
      <c r="AK14" s="11"/>
      <c r="AL14" s="24"/>
      <c r="AM14" s="24">
        <v>100000</v>
      </c>
      <c r="AO14" s="9">
        <v>22000</v>
      </c>
      <c r="AP14" s="9">
        <v>2500</v>
      </c>
      <c r="AQ14" s="9">
        <v>7000</v>
      </c>
      <c r="AR14" s="9">
        <v>4200</v>
      </c>
      <c r="AS14" s="9">
        <v>16000</v>
      </c>
      <c r="AT14" s="9">
        <v>800</v>
      </c>
      <c r="AU14" s="9">
        <v>30000</v>
      </c>
      <c r="AV14" s="11"/>
      <c r="AW14" s="68">
        <v>7580</v>
      </c>
      <c r="AX14" s="68">
        <v>7500</v>
      </c>
      <c r="AY14" s="68">
        <v>1850</v>
      </c>
      <c r="AZ14" s="10"/>
      <c r="BA14" s="68">
        <v>150000</v>
      </c>
      <c r="BB14" s="68">
        <v>15000</v>
      </c>
      <c r="BC14" s="68">
        <v>7500</v>
      </c>
      <c r="BD14" s="19"/>
      <c r="BE14" s="20" t="s">
        <v>31</v>
      </c>
      <c r="BF14" s="10">
        <v>11400</v>
      </c>
      <c r="BG14" s="11"/>
      <c r="BH14" s="72">
        <v>205160</v>
      </c>
      <c r="BI14" s="72">
        <v>279400</v>
      </c>
      <c r="BK14" s="9">
        <v>6000</v>
      </c>
      <c r="BL14" s="9">
        <v>1600</v>
      </c>
      <c r="BM14" s="9">
        <v>1000</v>
      </c>
      <c r="BN14" s="9">
        <v>2500</v>
      </c>
      <c r="BO14" s="9">
        <v>10000</v>
      </c>
      <c r="BP14" s="9">
        <v>5300</v>
      </c>
      <c r="BQ14" s="9">
        <v>250</v>
      </c>
      <c r="BR14" s="11"/>
      <c r="BS14" s="68">
        <v>10570</v>
      </c>
      <c r="BT14" s="68">
        <v>3460</v>
      </c>
      <c r="BU14" s="68">
        <v>28720</v>
      </c>
      <c r="BV14" s="68">
        <v>3500</v>
      </c>
      <c r="BW14" s="68">
        <v>5000</v>
      </c>
      <c r="BX14" s="10"/>
      <c r="BY14" s="19"/>
      <c r="BZ14" s="20" t="s">
        <v>14</v>
      </c>
      <c r="CA14" s="10">
        <v>33350</v>
      </c>
      <c r="CB14" s="11"/>
      <c r="CC14" s="24"/>
      <c r="CD14" s="75">
        <v>149930</v>
      </c>
      <c r="CE14" s="24"/>
      <c r="CF14" s="9">
        <v>1000</v>
      </c>
      <c r="CG14" s="9">
        <v>6000</v>
      </c>
      <c r="CH14" s="9">
        <v>3000</v>
      </c>
      <c r="CI14" s="9">
        <v>1900</v>
      </c>
      <c r="CJ14" s="9">
        <v>10000</v>
      </c>
      <c r="CK14" s="9">
        <v>2900</v>
      </c>
      <c r="CL14" s="9">
        <v>9000</v>
      </c>
      <c r="CM14" s="11"/>
      <c r="CN14" s="68">
        <v>960</v>
      </c>
      <c r="CO14" s="68">
        <v>13450</v>
      </c>
      <c r="CP14" s="68">
        <v>46380</v>
      </c>
      <c r="CQ14" s="68">
        <v>4500</v>
      </c>
      <c r="CR14" s="68">
        <v>9000</v>
      </c>
      <c r="CS14" s="68">
        <v>17000</v>
      </c>
      <c r="CT14" s="19"/>
      <c r="CU14" s="20"/>
      <c r="CV14" s="10"/>
      <c r="CW14" s="11"/>
      <c r="CX14" s="24"/>
      <c r="CY14" s="72">
        <v>294220</v>
      </c>
    </row>
    <row r="15" ht="15.75" customHeight="1" spans="1:103">
      <c r="A15" s="9">
        <v>4000</v>
      </c>
      <c r="B15" s="9"/>
      <c r="C15" s="9"/>
      <c r="D15" s="9"/>
      <c r="E15" s="9"/>
      <c r="F15" s="9"/>
      <c r="G15" s="9"/>
      <c r="H15" s="11"/>
      <c r="I15" s="10">
        <v>15000</v>
      </c>
      <c r="J15" s="10"/>
      <c r="K15" s="10"/>
      <c r="L15" s="10"/>
      <c r="M15" s="19"/>
      <c r="N15" s="20"/>
      <c r="O15" s="10"/>
      <c r="P15" s="11"/>
      <c r="Q15" s="32" t="s">
        <v>50</v>
      </c>
      <c r="R15" s="33"/>
      <c r="S15" s="24"/>
      <c r="T15" s="9">
        <v>1500</v>
      </c>
      <c r="U15" s="9">
        <v>2400</v>
      </c>
      <c r="V15" s="9">
        <v>1200</v>
      </c>
      <c r="W15" s="9">
        <v>7500</v>
      </c>
      <c r="X15" s="9">
        <v>8000</v>
      </c>
      <c r="Y15" s="9">
        <v>3000</v>
      </c>
      <c r="Z15" s="9">
        <v>3000</v>
      </c>
      <c r="AA15" s="11"/>
      <c r="AB15" s="68">
        <v>5800</v>
      </c>
      <c r="AC15" s="68">
        <v>30490</v>
      </c>
      <c r="AD15" s="10"/>
      <c r="AE15" s="68">
        <v>600</v>
      </c>
      <c r="AF15" s="68">
        <v>11000</v>
      </c>
      <c r="AG15" s="68">
        <v>4500</v>
      </c>
      <c r="AH15" s="19"/>
      <c r="AI15" s="20" t="s">
        <v>39</v>
      </c>
      <c r="AJ15" s="10">
        <v>65000</v>
      </c>
      <c r="AK15" s="11"/>
      <c r="AL15" s="32" t="s">
        <v>50</v>
      </c>
      <c r="AM15" s="33">
        <v>560730</v>
      </c>
      <c r="AO15" s="9">
        <v>1500</v>
      </c>
      <c r="AP15" s="9">
        <v>3500</v>
      </c>
      <c r="AQ15" s="9">
        <v>16700</v>
      </c>
      <c r="AR15" s="9">
        <v>1200</v>
      </c>
      <c r="AS15" s="9">
        <v>17000</v>
      </c>
      <c r="AT15" s="9">
        <v>1500</v>
      </c>
      <c r="AU15" s="9">
        <v>31500</v>
      </c>
      <c r="AV15" s="11"/>
      <c r="AW15" s="68">
        <v>11000</v>
      </c>
      <c r="AX15" s="68">
        <v>6050</v>
      </c>
      <c r="AY15" s="68">
        <v>13200</v>
      </c>
      <c r="AZ15" s="10"/>
      <c r="BA15" s="68">
        <v>10000</v>
      </c>
      <c r="BB15" s="68">
        <v>4500</v>
      </c>
      <c r="BC15" s="68">
        <v>2700</v>
      </c>
      <c r="BD15" s="19"/>
      <c r="BE15" s="20" t="s">
        <v>133</v>
      </c>
      <c r="BF15" s="10">
        <v>40000</v>
      </c>
      <c r="BG15" s="11"/>
      <c r="BH15" s="32" t="s">
        <v>50</v>
      </c>
      <c r="BI15" s="33"/>
      <c r="BK15" s="9">
        <v>1000</v>
      </c>
      <c r="BL15" s="9">
        <v>4000</v>
      </c>
      <c r="BM15" s="9">
        <v>2300</v>
      </c>
      <c r="BN15" s="9">
        <v>11500</v>
      </c>
      <c r="BO15" s="9">
        <v>1800</v>
      </c>
      <c r="BP15" s="9">
        <v>10500</v>
      </c>
      <c r="BQ15" s="9">
        <v>7500</v>
      </c>
      <c r="BR15" s="11"/>
      <c r="BS15" s="68">
        <v>8200</v>
      </c>
      <c r="BT15" s="68">
        <v>7490</v>
      </c>
      <c r="BU15" s="68">
        <v>20000</v>
      </c>
      <c r="BV15" s="68">
        <v>43000</v>
      </c>
      <c r="BW15" s="68">
        <v>5250</v>
      </c>
      <c r="BX15" s="10"/>
      <c r="BY15" s="19"/>
      <c r="BZ15" s="20" t="s">
        <v>31</v>
      </c>
      <c r="CA15" s="10">
        <v>21000</v>
      </c>
      <c r="CB15" s="11"/>
      <c r="CC15" s="32" t="s">
        <v>50</v>
      </c>
      <c r="CD15" s="33"/>
      <c r="CE15" s="24"/>
      <c r="CF15" s="9">
        <v>4800</v>
      </c>
      <c r="CG15" s="9">
        <v>5200</v>
      </c>
      <c r="CH15" s="9">
        <v>1000</v>
      </c>
      <c r="CI15" s="9">
        <v>6000</v>
      </c>
      <c r="CJ15" s="9">
        <v>4000</v>
      </c>
      <c r="CK15" s="9">
        <v>5000</v>
      </c>
      <c r="CL15" s="9">
        <v>600</v>
      </c>
      <c r="CM15" s="11"/>
      <c r="CN15" s="68">
        <v>2500</v>
      </c>
      <c r="CO15" s="68">
        <v>3000</v>
      </c>
      <c r="CP15" s="68">
        <v>500</v>
      </c>
      <c r="CQ15" s="68">
        <v>4500</v>
      </c>
      <c r="CR15" s="68">
        <v>8000</v>
      </c>
      <c r="CS15" s="68">
        <v>23000</v>
      </c>
      <c r="CT15" s="19"/>
      <c r="CU15" s="20"/>
      <c r="CV15" s="10"/>
      <c r="CW15" s="11"/>
      <c r="CX15" s="32" t="s">
        <v>50</v>
      </c>
      <c r="CY15" s="33"/>
    </row>
    <row r="16" ht="15" customHeight="1" spans="1:103">
      <c r="A16" s="9">
        <v>4500</v>
      </c>
      <c r="B16" s="9"/>
      <c r="C16" s="9"/>
      <c r="D16" s="9"/>
      <c r="E16" s="9"/>
      <c r="F16" s="9"/>
      <c r="G16" s="9"/>
      <c r="H16" s="11"/>
      <c r="I16" s="10">
        <v>15000</v>
      </c>
      <c r="J16" s="10"/>
      <c r="K16" s="10"/>
      <c r="L16" s="10"/>
      <c r="M16" s="21"/>
      <c r="N16" s="20"/>
      <c r="O16" s="10"/>
      <c r="P16" s="11"/>
      <c r="Q16" s="32" t="s">
        <v>53</v>
      </c>
      <c r="R16" s="33"/>
      <c r="S16" s="24"/>
      <c r="T16" s="9">
        <v>2000</v>
      </c>
      <c r="U16" s="9">
        <v>13800</v>
      </c>
      <c r="V16" s="9">
        <v>6000</v>
      </c>
      <c r="W16" s="9">
        <v>6600</v>
      </c>
      <c r="X16" s="9">
        <v>5500</v>
      </c>
      <c r="Y16" s="9">
        <v>600</v>
      </c>
      <c r="Z16" s="9">
        <v>1000</v>
      </c>
      <c r="AA16" s="11"/>
      <c r="AB16" s="68">
        <v>9200</v>
      </c>
      <c r="AC16" s="68">
        <v>55480</v>
      </c>
      <c r="AD16" s="10"/>
      <c r="AE16" s="68">
        <v>61000</v>
      </c>
      <c r="AF16" s="68">
        <v>9500</v>
      </c>
      <c r="AG16" s="68">
        <v>4000</v>
      </c>
      <c r="AH16" s="21"/>
      <c r="AI16" s="20" t="s">
        <v>6</v>
      </c>
      <c r="AJ16" s="10">
        <v>1150000</v>
      </c>
      <c r="AK16" s="11"/>
      <c r="AL16" s="32" t="s">
        <v>53</v>
      </c>
      <c r="AM16" s="33">
        <v>32000</v>
      </c>
      <c r="AO16" s="9">
        <v>600</v>
      </c>
      <c r="AP16" s="9">
        <v>1000</v>
      </c>
      <c r="AQ16" s="9">
        <v>2000</v>
      </c>
      <c r="AR16" s="9">
        <v>17500</v>
      </c>
      <c r="AS16" s="9">
        <v>2000</v>
      </c>
      <c r="AT16" s="9">
        <v>30000</v>
      </c>
      <c r="AU16" s="9">
        <v>1000</v>
      </c>
      <c r="AV16" s="11"/>
      <c r="AW16" s="68">
        <v>17000</v>
      </c>
      <c r="AX16" s="68">
        <v>32500</v>
      </c>
      <c r="AY16" s="68">
        <v>4000</v>
      </c>
      <c r="AZ16" s="10"/>
      <c r="BA16" s="68">
        <v>14600</v>
      </c>
      <c r="BB16" s="68">
        <v>18500</v>
      </c>
      <c r="BC16" s="68">
        <v>1000</v>
      </c>
      <c r="BD16" s="21"/>
      <c r="BE16" s="20" t="s">
        <v>134</v>
      </c>
      <c r="BF16" s="10">
        <v>641090</v>
      </c>
      <c r="BG16" s="11"/>
      <c r="BH16" s="32" t="s">
        <v>53</v>
      </c>
      <c r="BI16" s="33">
        <v>315910</v>
      </c>
      <c r="BK16" s="9">
        <v>15000</v>
      </c>
      <c r="BL16" s="9">
        <v>11800</v>
      </c>
      <c r="BM16" s="9">
        <v>1000</v>
      </c>
      <c r="BN16" s="9">
        <v>5000</v>
      </c>
      <c r="BO16" s="9">
        <v>9000</v>
      </c>
      <c r="BP16" s="9">
        <v>1000</v>
      </c>
      <c r="BQ16" s="9">
        <v>8000</v>
      </c>
      <c r="BR16" s="11"/>
      <c r="BS16" s="68">
        <v>5000</v>
      </c>
      <c r="BT16" s="68">
        <v>9600</v>
      </c>
      <c r="BU16" s="68">
        <v>2400</v>
      </c>
      <c r="BV16" s="68">
        <v>600</v>
      </c>
      <c r="BW16" s="68">
        <v>46000</v>
      </c>
      <c r="BX16" s="10"/>
      <c r="BY16" s="21"/>
      <c r="BZ16" s="20" t="s">
        <v>54</v>
      </c>
      <c r="CA16" s="10">
        <v>250000</v>
      </c>
      <c r="CB16" s="11"/>
      <c r="CC16" s="32" t="s">
        <v>53</v>
      </c>
      <c r="CD16" s="33"/>
      <c r="CE16" s="31"/>
      <c r="CF16" s="9">
        <v>3500</v>
      </c>
      <c r="CG16" s="9">
        <v>4000</v>
      </c>
      <c r="CH16" s="9">
        <v>1000</v>
      </c>
      <c r="CI16" s="9">
        <v>5500</v>
      </c>
      <c r="CJ16" s="9">
        <v>10000</v>
      </c>
      <c r="CK16" s="9">
        <v>2300</v>
      </c>
      <c r="CL16" s="9">
        <v>5000</v>
      </c>
      <c r="CM16" s="11"/>
      <c r="CN16" s="68">
        <v>2000</v>
      </c>
      <c r="CO16" s="68">
        <v>13450</v>
      </c>
      <c r="CP16" s="68">
        <v>3360</v>
      </c>
      <c r="CQ16" s="68">
        <v>2000</v>
      </c>
      <c r="CR16" s="68">
        <v>3500</v>
      </c>
      <c r="CS16" s="68">
        <v>3000</v>
      </c>
      <c r="CT16" s="21"/>
      <c r="CU16" s="20"/>
      <c r="CV16" s="10"/>
      <c r="CW16" s="11"/>
      <c r="CX16" s="32" t="s">
        <v>53</v>
      </c>
      <c r="CY16" s="33"/>
    </row>
    <row r="17" ht="15.75" customHeight="1" spans="1:103">
      <c r="A17" s="9">
        <v>5000</v>
      </c>
      <c r="B17" s="9"/>
      <c r="C17" s="9"/>
      <c r="D17" s="9"/>
      <c r="E17" s="9"/>
      <c r="F17" s="9"/>
      <c r="G17" s="9"/>
      <c r="H17" s="11"/>
      <c r="I17" s="10">
        <v>7500</v>
      </c>
      <c r="J17" s="10"/>
      <c r="K17" s="10"/>
      <c r="L17" s="10"/>
      <c r="M17" s="21"/>
      <c r="N17" s="20"/>
      <c r="O17" s="10"/>
      <c r="P17" s="11"/>
      <c r="Q17" s="24"/>
      <c r="R17" s="31">
        <v>143290</v>
      </c>
      <c r="S17" s="24"/>
      <c r="T17" s="9">
        <v>4500</v>
      </c>
      <c r="U17" s="9">
        <v>2000</v>
      </c>
      <c r="V17" s="9">
        <v>2200</v>
      </c>
      <c r="W17" s="9">
        <v>5000</v>
      </c>
      <c r="X17" s="9">
        <v>1500</v>
      </c>
      <c r="Y17" s="9">
        <v>17000</v>
      </c>
      <c r="Z17" s="9">
        <v>1500</v>
      </c>
      <c r="AA17" s="11"/>
      <c r="AB17" s="68">
        <v>6000</v>
      </c>
      <c r="AC17" s="68">
        <v>7430</v>
      </c>
      <c r="AD17" s="10"/>
      <c r="AE17" s="68">
        <v>3600</v>
      </c>
      <c r="AF17" s="68">
        <v>800</v>
      </c>
      <c r="AG17" s="68">
        <v>7500</v>
      </c>
      <c r="AH17" s="21"/>
      <c r="AI17" s="20" t="s">
        <v>6</v>
      </c>
      <c r="AJ17" s="10">
        <v>500000</v>
      </c>
      <c r="AK17" s="11"/>
      <c r="AL17" s="24"/>
      <c r="AM17" s="72">
        <v>87290</v>
      </c>
      <c r="AO17" s="9">
        <v>10000</v>
      </c>
      <c r="AP17" s="9">
        <v>2100</v>
      </c>
      <c r="AQ17" s="9">
        <v>1500</v>
      </c>
      <c r="AR17" s="9">
        <v>30000</v>
      </c>
      <c r="AS17" s="9">
        <v>4500</v>
      </c>
      <c r="AT17" s="9">
        <v>6000</v>
      </c>
      <c r="AU17" s="9">
        <v>2200</v>
      </c>
      <c r="AV17" s="11"/>
      <c r="AW17" s="68">
        <v>3000</v>
      </c>
      <c r="AX17" s="68">
        <v>12930</v>
      </c>
      <c r="AY17" s="68">
        <v>4600</v>
      </c>
      <c r="AZ17" s="10"/>
      <c r="BA17" s="68">
        <v>7000</v>
      </c>
      <c r="BB17" s="68">
        <v>2000</v>
      </c>
      <c r="BC17" s="68">
        <v>52000</v>
      </c>
      <c r="BD17" s="21"/>
      <c r="BE17" s="20" t="s">
        <v>65</v>
      </c>
      <c r="BF17" s="10">
        <v>42220</v>
      </c>
      <c r="BG17" s="11"/>
      <c r="BH17" s="24"/>
      <c r="BI17" s="31">
        <v>900000</v>
      </c>
      <c r="BK17" s="9">
        <v>1500</v>
      </c>
      <c r="BL17" s="9">
        <v>9700</v>
      </c>
      <c r="BM17" s="9">
        <v>2000</v>
      </c>
      <c r="BN17" s="9">
        <v>1400</v>
      </c>
      <c r="BO17" s="9">
        <v>5000</v>
      </c>
      <c r="BP17" s="9">
        <v>24000</v>
      </c>
      <c r="BQ17" s="9">
        <v>8400</v>
      </c>
      <c r="BR17" s="11"/>
      <c r="BS17" s="68">
        <v>6000</v>
      </c>
      <c r="BT17" s="68">
        <v>2000</v>
      </c>
      <c r="BU17" s="68">
        <v>9610</v>
      </c>
      <c r="BV17" s="68">
        <v>19000</v>
      </c>
      <c r="BW17" s="68">
        <v>2500</v>
      </c>
      <c r="BX17" s="10"/>
      <c r="BY17" s="21"/>
      <c r="BZ17" s="20" t="s">
        <v>125</v>
      </c>
      <c r="CA17" s="10">
        <v>150000</v>
      </c>
      <c r="CB17" s="11"/>
      <c r="CC17" s="24"/>
      <c r="CD17" s="31">
        <v>539550</v>
      </c>
      <c r="CE17" s="31"/>
      <c r="CF17" s="9">
        <v>800</v>
      </c>
      <c r="CG17" s="9">
        <v>8500</v>
      </c>
      <c r="CH17" s="9">
        <v>1200</v>
      </c>
      <c r="CI17" s="9">
        <v>29500</v>
      </c>
      <c r="CJ17" s="9">
        <v>8500</v>
      </c>
      <c r="CK17" s="9">
        <v>3500</v>
      </c>
      <c r="CL17" s="9">
        <v>2000</v>
      </c>
      <c r="CM17" s="11"/>
      <c r="CN17" s="68">
        <v>7500</v>
      </c>
      <c r="CO17" s="68">
        <v>3840</v>
      </c>
      <c r="CP17" s="10"/>
      <c r="CQ17" s="68">
        <v>50000</v>
      </c>
      <c r="CR17" s="68">
        <v>6800</v>
      </c>
      <c r="CS17" s="68">
        <v>27000</v>
      </c>
      <c r="CT17" s="21"/>
      <c r="CU17" s="20"/>
      <c r="CV17" s="10"/>
      <c r="CW17" s="11"/>
      <c r="CX17" s="24"/>
      <c r="CY17" s="72">
        <v>206850</v>
      </c>
    </row>
    <row r="18" ht="15.75" customHeight="1" spans="1:103">
      <c r="A18" s="9">
        <v>10000</v>
      </c>
      <c r="B18" s="9"/>
      <c r="C18" s="9"/>
      <c r="D18" s="9"/>
      <c r="E18" s="9"/>
      <c r="F18" s="9"/>
      <c r="G18" s="9"/>
      <c r="H18" s="11"/>
      <c r="I18" s="10">
        <v>4500</v>
      </c>
      <c r="J18" s="10"/>
      <c r="K18" s="10"/>
      <c r="L18" s="10"/>
      <c r="M18" s="21"/>
      <c r="N18" s="20"/>
      <c r="O18" s="10"/>
      <c r="P18" s="11"/>
      <c r="S18" s="24"/>
      <c r="T18" s="9">
        <v>2500</v>
      </c>
      <c r="U18" s="9">
        <v>23000</v>
      </c>
      <c r="V18" s="9">
        <v>2200</v>
      </c>
      <c r="W18" s="9">
        <v>3000</v>
      </c>
      <c r="X18" s="9">
        <v>500</v>
      </c>
      <c r="Y18" s="9">
        <v>8000</v>
      </c>
      <c r="Z18" s="9">
        <v>11500</v>
      </c>
      <c r="AA18" s="11"/>
      <c r="AB18" s="68">
        <v>2000</v>
      </c>
      <c r="AC18" s="68">
        <v>3840</v>
      </c>
      <c r="AD18" s="10"/>
      <c r="AE18" s="68">
        <v>9500</v>
      </c>
      <c r="AF18" s="68">
        <v>5600</v>
      </c>
      <c r="AG18" s="68">
        <v>3000</v>
      </c>
      <c r="AH18" s="21"/>
      <c r="AI18" s="20"/>
      <c r="AJ18" s="10"/>
      <c r="AK18" s="11"/>
      <c r="AM18" s="72">
        <v>18200</v>
      </c>
      <c r="AO18" s="9">
        <v>5000</v>
      </c>
      <c r="AP18" s="9">
        <v>2500</v>
      </c>
      <c r="AQ18" s="9">
        <v>2300</v>
      </c>
      <c r="AR18" s="9">
        <v>1500</v>
      </c>
      <c r="AS18" s="9">
        <v>2000</v>
      </c>
      <c r="AT18" s="9">
        <v>5000</v>
      </c>
      <c r="AU18" s="9">
        <v>1500</v>
      </c>
      <c r="AV18" s="11"/>
      <c r="AW18" s="68">
        <v>800</v>
      </c>
      <c r="AX18" s="68">
        <v>29210</v>
      </c>
      <c r="AY18" s="68">
        <v>1500</v>
      </c>
      <c r="AZ18" s="10"/>
      <c r="BA18" s="68">
        <v>47500</v>
      </c>
      <c r="BB18" s="68">
        <v>18000</v>
      </c>
      <c r="BC18" s="68">
        <v>2000</v>
      </c>
      <c r="BD18" s="21"/>
      <c r="BE18" s="20" t="s">
        <v>27</v>
      </c>
      <c r="BF18" s="10">
        <v>242000</v>
      </c>
      <c r="BG18" s="11"/>
      <c r="BI18" s="31">
        <v>198220</v>
      </c>
      <c r="BK18" s="9">
        <v>3500</v>
      </c>
      <c r="BL18" s="9">
        <v>13000</v>
      </c>
      <c r="BM18" s="9">
        <v>4000</v>
      </c>
      <c r="BN18" s="9">
        <v>4000</v>
      </c>
      <c r="BO18" s="9">
        <v>11000</v>
      </c>
      <c r="BP18" s="9">
        <v>3700</v>
      </c>
      <c r="BQ18" s="9">
        <v>2000</v>
      </c>
      <c r="BR18" s="11"/>
      <c r="BS18" s="68">
        <v>6800</v>
      </c>
      <c r="BT18" s="68">
        <v>2500</v>
      </c>
      <c r="BU18" s="68">
        <v>11180</v>
      </c>
      <c r="BV18" s="68">
        <v>11000</v>
      </c>
      <c r="BW18" s="68">
        <v>84000</v>
      </c>
      <c r="BX18" s="10"/>
      <c r="BY18" s="21"/>
      <c r="BZ18" s="20" t="s">
        <v>5</v>
      </c>
      <c r="CA18" s="10">
        <v>288400</v>
      </c>
      <c r="CB18" s="11"/>
      <c r="CD18" s="77">
        <v>140000</v>
      </c>
      <c r="CE18" s="24"/>
      <c r="CF18" s="9">
        <v>1000</v>
      </c>
      <c r="CG18" s="9">
        <v>600</v>
      </c>
      <c r="CH18" s="9">
        <v>2000</v>
      </c>
      <c r="CI18" s="9">
        <v>300</v>
      </c>
      <c r="CJ18" s="9">
        <v>8300</v>
      </c>
      <c r="CK18" s="9">
        <v>4500</v>
      </c>
      <c r="CL18" s="9">
        <v>8000</v>
      </c>
      <c r="CM18" s="11"/>
      <c r="CN18" s="68">
        <v>31000</v>
      </c>
      <c r="CO18" s="68">
        <v>8320</v>
      </c>
      <c r="CP18" s="10"/>
      <c r="CQ18" s="68">
        <v>34500</v>
      </c>
      <c r="CR18" s="68">
        <v>10000</v>
      </c>
      <c r="CS18" s="68">
        <v>4000</v>
      </c>
      <c r="CT18" s="21"/>
      <c r="CU18" s="20"/>
      <c r="CV18" s="10"/>
      <c r="CW18" s="11"/>
      <c r="CY18" s="72">
        <v>66780</v>
      </c>
    </row>
    <row r="19" ht="15.75" customHeight="1" spans="1:103">
      <c r="A19" s="9">
        <v>3500</v>
      </c>
      <c r="B19" s="9"/>
      <c r="C19" s="9"/>
      <c r="D19" s="9"/>
      <c r="E19" s="9"/>
      <c r="F19" s="9"/>
      <c r="G19" s="9"/>
      <c r="H19" s="11"/>
      <c r="I19" s="10">
        <v>22570</v>
      </c>
      <c r="J19" s="10"/>
      <c r="K19" s="10"/>
      <c r="L19" s="10"/>
      <c r="M19" s="21"/>
      <c r="N19" s="20"/>
      <c r="O19" s="10"/>
      <c r="P19" s="11"/>
      <c r="Q19" s="24"/>
      <c r="R19" s="31"/>
      <c r="S19" s="24"/>
      <c r="T19" s="9">
        <v>1500</v>
      </c>
      <c r="U19" s="9">
        <v>2500</v>
      </c>
      <c r="V19" s="9">
        <v>3000</v>
      </c>
      <c r="W19" s="9">
        <v>1000</v>
      </c>
      <c r="X19" s="9">
        <v>800</v>
      </c>
      <c r="Y19" s="9">
        <v>3000</v>
      </c>
      <c r="Z19" s="9">
        <v>7200</v>
      </c>
      <c r="AA19" s="11"/>
      <c r="AB19" s="68">
        <v>9000</v>
      </c>
      <c r="AC19" s="68">
        <v>4000</v>
      </c>
      <c r="AD19" s="10"/>
      <c r="AE19" s="68">
        <v>7500</v>
      </c>
      <c r="AF19" s="68">
        <v>4500</v>
      </c>
      <c r="AG19" s="68">
        <v>23500</v>
      </c>
      <c r="AH19" s="21"/>
      <c r="AI19" s="20"/>
      <c r="AJ19" s="10"/>
      <c r="AK19" s="11"/>
      <c r="AL19" s="24"/>
      <c r="AM19" s="72">
        <v>174700</v>
      </c>
      <c r="AO19" s="9">
        <v>4000</v>
      </c>
      <c r="AP19" s="9">
        <v>2000</v>
      </c>
      <c r="AQ19" s="9">
        <v>3500</v>
      </c>
      <c r="AR19" s="9">
        <v>24000</v>
      </c>
      <c r="AS19" s="9">
        <v>2000</v>
      </c>
      <c r="AT19" s="9">
        <v>12000</v>
      </c>
      <c r="AU19" s="9">
        <v>3000</v>
      </c>
      <c r="AV19" s="11"/>
      <c r="AW19" s="68">
        <v>24000</v>
      </c>
      <c r="AX19" s="68">
        <v>6930</v>
      </c>
      <c r="AY19" s="68">
        <v>25400</v>
      </c>
      <c r="AZ19" s="10"/>
      <c r="BA19" s="68">
        <v>12000</v>
      </c>
      <c r="BB19" s="68">
        <v>7500</v>
      </c>
      <c r="BC19" s="68">
        <v>4000</v>
      </c>
      <c r="BD19" s="21"/>
      <c r="BE19" s="20" t="s">
        <v>45</v>
      </c>
      <c r="BF19" s="10">
        <v>35600</v>
      </c>
      <c r="BG19" s="11"/>
      <c r="BH19" s="24"/>
      <c r="BI19" s="31">
        <v>170000</v>
      </c>
      <c r="BK19" s="9">
        <v>4500</v>
      </c>
      <c r="BL19" s="9">
        <v>8000</v>
      </c>
      <c r="BM19" s="9">
        <v>42000</v>
      </c>
      <c r="BN19" s="9">
        <v>2000</v>
      </c>
      <c r="BO19" s="9">
        <v>10500</v>
      </c>
      <c r="BP19" s="9">
        <v>3600</v>
      </c>
      <c r="BQ19" s="9">
        <v>9500</v>
      </c>
      <c r="BR19" s="11"/>
      <c r="BS19" s="68">
        <v>1500</v>
      </c>
      <c r="BT19" s="68">
        <v>8000</v>
      </c>
      <c r="BU19" s="68">
        <v>7920</v>
      </c>
      <c r="BV19" s="68">
        <v>3500</v>
      </c>
      <c r="BW19" s="68">
        <v>8200</v>
      </c>
      <c r="BX19" s="10"/>
      <c r="BY19" s="21"/>
      <c r="BZ19" s="20" t="s">
        <v>101</v>
      </c>
      <c r="CA19" s="10">
        <v>142700</v>
      </c>
      <c r="CB19" s="11"/>
      <c r="CC19" s="24"/>
      <c r="CD19" s="31">
        <v>80000</v>
      </c>
      <c r="CE19" s="31"/>
      <c r="CF19" s="9">
        <v>600</v>
      </c>
      <c r="CG19" s="9">
        <v>2000</v>
      </c>
      <c r="CH19" s="9">
        <v>6000</v>
      </c>
      <c r="CI19" s="9">
        <v>6600</v>
      </c>
      <c r="CJ19" s="9">
        <v>2000</v>
      </c>
      <c r="CK19" s="9">
        <v>11500</v>
      </c>
      <c r="CL19" s="9">
        <v>8300</v>
      </c>
      <c r="CM19" s="11"/>
      <c r="CN19" s="68">
        <v>4500</v>
      </c>
      <c r="CO19" s="68">
        <v>1730</v>
      </c>
      <c r="CP19" s="10"/>
      <c r="CQ19" s="68">
        <v>6000</v>
      </c>
      <c r="CR19" s="68">
        <v>68000</v>
      </c>
      <c r="CS19" s="68">
        <v>3000</v>
      </c>
      <c r="CT19" s="21"/>
      <c r="CU19" s="20"/>
      <c r="CV19" s="10"/>
      <c r="CW19" s="11"/>
      <c r="CX19" s="24"/>
      <c r="CY19" s="31">
        <v>165000</v>
      </c>
    </row>
    <row r="20" ht="15" customHeight="1" spans="1:103">
      <c r="A20" s="9">
        <v>9800</v>
      </c>
      <c r="B20" s="9"/>
      <c r="C20" s="9"/>
      <c r="D20" s="9"/>
      <c r="E20" s="9"/>
      <c r="F20" s="9"/>
      <c r="G20" s="9"/>
      <c r="H20" s="11"/>
      <c r="I20" s="10">
        <v>1600</v>
      </c>
      <c r="J20" s="10"/>
      <c r="K20" s="10"/>
      <c r="L20" s="10"/>
      <c r="M20" s="21"/>
      <c r="N20" s="20"/>
      <c r="O20" s="10"/>
      <c r="P20" s="11"/>
      <c r="Q20" s="24"/>
      <c r="R20" s="31"/>
      <c r="S20" s="24"/>
      <c r="T20" s="9">
        <v>2900</v>
      </c>
      <c r="U20" s="9">
        <v>4000</v>
      </c>
      <c r="V20" s="9">
        <v>11500</v>
      </c>
      <c r="W20" s="9">
        <v>500</v>
      </c>
      <c r="X20" s="9">
        <v>11600</v>
      </c>
      <c r="Y20" s="9">
        <v>2000</v>
      </c>
      <c r="Z20" s="9">
        <v>2000</v>
      </c>
      <c r="AA20" s="11"/>
      <c r="AB20" s="68">
        <v>8260</v>
      </c>
      <c r="AC20" s="10"/>
      <c r="AD20" s="10"/>
      <c r="AE20" s="68">
        <v>3000</v>
      </c>
      <c r="AF20" s="68">
        <v>2000</v>
      </c>
      <c r="AG20" s="68">
        <v>6000</v>
      </c>
      <c r="AH20" s="21"/>
      <c r="AI20" s="20"/>
      <c r="AJ20" s="10"/>
      <c r="AK20" s="11"/>
      <c r="AL20" s="24"/>
      <c r="AM20" s="72">
        <v>500000</v>
      </c>
      <c r="AO20" s="9">
        <v>3000</v>
      </c>
      <c r="AP20" s="9">
        <v>800</v>
      </c>
      <c r="AQ20" s="9">
        <v>2500</v>
      </c>
      <c r="AR20" s="9">
        <v>27000</v>
      </c>
      <c r="AS20" s="9">
        <v>4900</v>
      </c>
      <c r="AT20" s="9">
        <v>5500</v>
      </c>
      <c r="AU20" s="9"/>
      <c r="AV20" s="11"/>
      <c r="AW20" s="68">
        <v>85000</v>
      </c>
      <c r="AX20" s="68">
        <v>2880</v>
      </c>
      <c r="AY20" s="68">
        <v>3500</v>
      </c>
      <c r="AZ20" s="10"/>
      <c r="BA20" s="68">
        <v>11100</v>
      </c>
      <c r="BB20" s="68">
        <v>2300</v>
      </c>
      <c r="BC20" s="68">
        <v>2500</v>
      </c>
      <c r="BD20" s="21"/>
      <c r="BE20" s="20" t="s">
        <v>135</v>
      </c>
      <c r="BF20" s="10">
        <v>59000</v>
      </c>
      <c r="BG20" s="11"/>
      <c r="BH20" s="24"/>
      <c r="BI20" s="31">
        <v>171180</v>
      </c>
      <c r="BK20" s="9">
        <v>1000</v>
      </c>
      <c r="BL20" s="9">
        <v>3000</v>
      </c>
      <c r="BM20" s="9">
        <v>8000</v>
      </c>
      <c r="BN20" s="9">
        <v>6000</v>
      </c>
      <c r="BO20" s="9">
        <v>1200</v>
      </c>
      <c r="BP20" s="9">
        <v>8000</v>
      </c>
      <c r="BQ20" s="9">
        <v>5850</v>
      </c>
      <c r="BR20" s="11"/>
      <c r="BS20" s="68">
        <v>3840</v>
      </c>
      <c r="BT20" s="68">
        <v>8500</v>
      </c>
      <c r="BU20" s="10"/>
      <c r="BV20" s="68">
        <v>16900</v>
      </c>
      <c r="BW20" s="68">
        <v>6600</v>
      </c>
      <c r="BX20" s="10"/>
      <c r="BY20" s="21"/>
      <c r="BZ20" s="20" t="s">
        <v>55</v>
      </c>
      <c r="CA20" s="10">
        <v>94700</v>
      </c>
      <c r="CB20" s="11"/>
      <c r="CC20" s="24"/>
      <c r="CD20" s="31">
        <v>33350</v>
      </c>
      <c r="CE20" s="24"/>
      <c r="CF20" s="9">
        <v>4000</v>
      </c>
      <c r="CG20" s="9">
        <v>1300</v>
      </c>
      <c r="CH20" s="9">
        <v>1300</v>
      </c>
      <c r="CI20" s="9">
        <v>300</v>
      </c>
      <c r="CJ20" s="9">
        <v>3000</v>
      </c>
      <c r="CK20" s="9">
        <v>600</v>
      </c>
      <c r="CL20" s="9">
        <v>1000</v>
      </c>
      <c r="CM20" s="11"/>
      <c r="CN20" s="68">
        <v>15250</v>
      </c>
      <c r="CO20" s="68">
        <v>9000</v>
      </c>
      <c r="CP20" s="10"/>
      <c r="CQ20" s="68">
        <v>5000</v>
      </c>
      <c r="CR20" s="68">
        <v>4500</v>
      </c>
      <c r="CS20" s="68">
        <v>2500</v>
      </c>
      <c r="CT20" s="21"/>
      <c r="CU20" s="20"/>
      <c r="CV20" s="10"/>
      <c r="CW20" s="11"/>
      <c r="CX20" s="24"/>
      <c r="CY20" s="31"/>
    </row>
    <row r="21" ht="15" customHeight="1" spans="1:103">
      <c r="A21" s="9">
        <v>4500</v>
      </c>
      <c r="B21" s="9"/>
      <c r="C21" s="9"/>
      <c r="D21" s="9"/>
      <c r="E21" s="9"/>
      <c r="F21" s="9"/>
      <c r="G21" s="9"/>
      <c r="H21" s="11"/>
      <c r="I21" s="10">
        <v>4500</v>
      </c>
      <c r="J21" s="10"/>
      <c r="K21" s="10"/>
      <c r="L21" s="10"/>
      <c r="M21" s="21"/>
      <c r="N21" s="20"/>
      <c r="O21" s="10"/>
      <c r="P21" s="11"/>
      <c r="Q21" s="24"/>
      <c r="R21" s="31"/>
      <c r="S21" s="24"/>
      <c r="T21" s="9">
        <v>500</v>
      </c>
      <c r="U21" s="9">
        <v>4500</v>
      </c>
      <c r="V21" s="9">
        <v>86750</v>
      </c>
      <c r="W21" s="9">
        <v>5500</v>
      </c>
      <c r="X21" s="9">
        <v>6000</v>
      </c>
      <c r="Y21" s="9">
        <v>4500</v>
      </c>
      <c r="Z21" s="9">
        <v>2000</v>
      </c>
      <c r="AA21" s="11"/>
      <c r="AB21" s="68">
        <v>6720</v>
      </c>
      <c r="AC21" s="10"/>
      <c r="AD21" s="10"/>
      <c r="AE21" s="68">
        <v>9000</v>
      </c>
      <c r="AF21" s="68">
        <v>6500</v>
      </c>
      <c r="AG21" s="10"/>
      <c r="AH21" s="21"/>
      <c r="AI21" s="20"/>
      <c r="AJ21" s="10"/>
      <c r="AK21" s="11"/>
      <c r="AL21" s="24"/>
      <c r="AM21" s="31"/>
      <c r="AO21" s="9">
        <v>4000</v>
      </c>
      <c r="AP21" s="9">
        <v>1200</v>
      </c>
      <c r="AQ21" s="9">
        <v>5000</v>
      </c>
      <c r="AR21" s="9">
        <v>5900</v>
      </c>
      <c r="AS21" s="9">
        <v>4200</v>
      </c>
      <c r="AT21" s="9">
        <v>13000</v>
      </c>
      <c r="AU21" s="9"/>
      <c r="AV21" s="11"/>
      <c r="AW21" s="68">
        <v>3840</v>
      </c>
      <c r="AX21" s="68">
        <v>10090</v>
      </c>
      <c r="AY21" s="68">
        <v>11500</v>
      </c>
      <c r="AZ21" s="10"/>
      <c r="BA21" s="68">
        <v>5500</v>
      </c>
      <c r="BB21" s="68">
        <v>4500</v>
      </c>
      <c r="BC21" s="68">
        <v>1200</v>
      </c>
      <c r="BD21" s="21"/>
      <c r="BE21" s="20" t="s">
        <v>37</v>
      </c>
      <c r="BF21" s="10">
        <v>140260</v>
      </c>
      <c r="BG21" s="11"/>
      <c r="BH21" s="24"/>
      <c r="BI21" s="31">
        <v>40000</v>
      </c>
      <c r="BK21" s="9">
        <v>500</v>
      </c>
      <c r="BL21" s="9">
        <v>2100</v>
      </c>
      <c r="BM21" s="9">
        <v>1500</v>
      </c>
      <c r="BN21" s="9">
        <v>8000</v>
      </c>
      <c r="BO21" s="9">
        <v>1500</v>
      </c>
      <c r="BP21" s="9">
        <v>2500</v>
      </c>
      <c r="BQ21" s="9">
        <v>2600</v>
      </c>
      <c r="BR21" s="11"/>
      <c r="BS21" s="68">
        <v>6470</v>
      </c>
      <c r="BT21" s="68">
        <v>5000</v>
      </c>
      <c r="BU21" s="10"/>
      <c r="BV21" s="68">
        <v>11000</v>
      </c>
      <c r="BW21" s="68">
        <v>11200</v>
      </c>
      <c r="BX21" s="10"/>
      <c r="BY21" s="21"/>
      <c r="BZ21" s="20"/>
      <c r="CA21" s="10"/>
      <c r="CB21" s="11"/>
      <c r="CC21" s="24"/>
      <c r="CD21" s="31">
        <v>142700</v>
      </c>
      <c r="CE21" s="24"/>
      <c r="CF21" s="9">
        <v>2000</v>
      </c>
      <c r="CG21" s="9">
        <v>10000</v>
      </c>
      <c r="CH21" s="9">
        <v>8500</v>
      </c>
      <c r="CI21" s="9">
        <v>14000</v>
      </c>
      <c r="CJ21" s="9">
        <v>3500</v>
      </c>
      <c r="CK21" s="9">
        <v>2500</v>
      </c>
      <c r="CL21" s="9">
        <v>3400</v>
      </c>
      <c r="CM21" s="11"/>
      <c r="CN21" s="68">
        <v>14410</v>
      </c>
      <c r="CO21" s="68">
        <v>19220</v>
      </c>
      <c r="CP21" s="10"/>
      <c r="CQ21" s="68">
        <v>3500</v>
      </c>
      <c r="CR21" s="68">
        <v>14500</v>
      </c>
      <c r="CS21" s="68">
        <v>1500</v>
      </c>
      <c r="CT21" s="21"/>
      <c r="CU21" s="20"/>
      <c r="CV21" s="10"/>
      <c r="CW21" s="11"/>
      <c r="CX21" s="24"/>
      <c r="CY21" s="31"/>
    </row>
    <row r="22" ht="15.75" customHeight="1" spans="1:103">
      <c r="A22" s="9">
        <v>8600</v>
      </c>
      <c r="B22" s="9"/>
      <c r="C22" s="9"/>
      <c r="D22" s="9"/>
      <c r="E22" s="9"/>
      <c r="F22" s="9"/>
      <c r="G22" s="9"/>
      <c r="H22" s="11"/>
      <c r="I22" s="10">
        <v>1500</v>
      </c>
      <c r="J22" s="10"/>
      <c r="K22" s="10"/>
      <c r="L22" s="10"/>
      <c r="M22" s="21"/>
      <c r="N22" s="20"/>
      <c r="O22" s="10"/>
      <c r="P22" s="11"/>
      <c r="Q22" s="24"/>
      <c r="R22" s="31"/>
      <c r="S22" s="24"/>
      <c r="T22" s="9">
        <v>3100</v>
      </c>
      <c r="U22" s="9">
        <v>3000</v>
      </c>
      <c r="V22" s="9">
        <v>2000</v>
      </c>
      <c r="W22" s="9">
        <v>1500</v>
      </c>
      <c r="X22" s="9">
        <v>4500</v>
      </c>
      <c r="Y22" s="9">
        <v>3000</v>
      </c>
      <c r="Z22" s="9">
        <v>5500</v>
      </c>
      <c r="AA22" s="11"/>
      <c r="AB22" s="68">
        <v>7300</v>
      </c>
      <c r="AC22" s="10"/>
      <c r="AD22" s="10"/>
      <c r="AE22" s="68">
        <v>4500</v>
      </c>
      <c r="AF22" s="68">
        <v>2000</v>
      </c>
      <c r="AG22" s="10"/>
      <c r="AH22" s="21"/>
      <c r="AI22" s="20"/>
      <c r="AJ22" s="10"/>
      <c r="AK22" s="11"/>
      <c r="AL22" s="24"/>
      <c r="AM22" s="31"/>
      <c r="AO22" s="9">
        <v>2500</v>
      </c>
      <c r="AP22" s="9">
        <v>3500</v>
      </c>
      <c r="AQ22" s="9">
        <v>800</v>
      </c>
      <c r="AR22" s="9">
        <v>3500</v>
      </c>
      <c r="AS22" s="9">
        <v>2500</v>
      </c>
      <c r="AT22" s="9">
        <v>9000</v>
      </c>
      <c r="AU22" s="9"/>
      <c r="AV22" s="11"/>
      <c r="AW22" s="68">
        <v>49800</v>
      </c>
      <c r="AX22" s="68">
        <v>4320</v>
      </c>
      <c r="AY22" s="68">
        <v>6100</v>
      </c>
      <c r="AZ22" s="10"/>
      <c r="BA22" s="68">
        <v>18000</v>
      </c>
      <c r="BB22" s="68">
        <v>5000</v>
      </c>
      <c r="BC22" s="68">
        <v>6000</v>
      </c>
      <c r="BD22" s="21"/>
      <c r="BE22" s="20" t="s">
        <v>5</v>
      </c>
      <c r="BF22" s="10">
        <v>205160</v>
      </c>
      <c r="BG22" s="11"/>
      <c r="BH22" s="24"/>
      <c r="BI22" s="31">
        <v>400000</v>
      </c>
      <c r="BK22" s="9">
        <v>5000</v>
      </c>
      <c r="BL22" s="9">
        <v>3000</v>
      </c>
      <c r="BM22" s="9">
        <v>4000</v>
      </c>
      <c r="BN22" s="9">
        <v>1500</v>
      </c>
      <c r="BO22" s="9">
        <v>6500</v>
      </c>
      <c r="BP22" s="9">
        <v>5000</v>
      </c>
      <c r="BQ22" s="9">
        <v>3360</v>
      </c>
      <c r="BR22" s="11"/>
      <c r="BS22" s="68">
        <v>6470</v>
      </c>
      <c r="BT22" s="68">
        <v>2500</v>
      </c>
      <c r="BU22" s="10"/>
      <c r="BV22" s="68">
        <v>9000</v>
      </c>
      <c r="BW22" s="68">
        <v>1600</v>
      </c>
      <c r="BX22" s="10"/>
      <c r="BY22" s="21"/>
      <c r="BZ22" s="20"/>
      <c r="CA22" s="10"/>
      <c r="CB22" s="11"/>
      <c r="CC22" s="24"/>
      <c r="CD22" s="31">
        <v>94700</v>
      </c>
      <c r="CE22" s="24"/>
      <c r="CF22" s="9">
        <v>600</v>
      </c>
      <c r="CG22" s="9">
        <v>12000</v>
      </c>
      <c r="CH22" s="9">
        <v>10000</v>
      </c>
      <c r="CI22" s="9">
        <v>1000</v>
      </c>
      <c r="CJ22" s="9">
        <v>3000</v>
      </c>
      <c r="CK22" s="9">
        <v>1000</v>
      </c>
      <c r="CL22" s="9">
        <v>500</v>
      </c>
      <c r="CM22" s="11"/>
      <c r="CN22" s="68">
        <v>35770</v>
      </c>
      <c r="CO22" s="68">
        <v>3840</v>
      </c>
      <c r="CP22" s="10"/>
      <c r="CQ22" s="68">
        <v>22000</v>
      </c>
      <c r="CR22" s="68">
        <v>8100</v>
      </c>
      <c r="CS22" s="68">
        <v>500</v>
      </c>
      <c r="CT22" s="21"/>
      <c r="CU22" s="20"/>
      <c r="CV22" s="10"/>
      <c r="CW22" s="11"/>
      <c r="CX22" s="24"/>
      <c r="CY22" s="31"/>
    </row>
    <row r="23" spans="1:103">
      <c r="A23" s="9">
        <v>3000</v>
      </c>
      <c r="B23" s="9"/>
      <c r="C23" s="9"/>
      <c r="D23" s="9"/>
      <c r="E23" s="9"/>
      <c r="F23" s="9"/>
      <c r="G23" s="9"/>
      <c r="H23" s="11"/>
      <c r="I23" s="10">
        <v>3500</v>
      </c>
      <c r="J23" s="10"/>
      <c r="K23" s="10"/>
      <c r="L23" s="10"/>
      <c r="M23" s="21"/>
      <c r="N23" s="20"/>
      <c r="O23" s="10"/>
      <c r="P23" s="11"/>
      <c r="Q23" s="24"/>
      <c r="R23" s="31"/>
      <c r="S23" s="24"/>
      <c r="T23" s="9">
        <v>1700</v>
      </c>
      <c r="U23" s="9">
        <v>5000</v>
      </c>
      <c r="V23" s="9">
        <v>16400</v>
      </c>
      <c r="W23" s="9">
        <v>6000</v>
      </c>
      <c r="X23" s="9">
        <v>2500</v>
      </c>
      <c r="Y23" s="9">
        <v>7000</v>
      </c>
      <c r="Z23" s="9">
        <v>8500</v>
      </c>
      <c r="AA23" s="11"/>
      <c r="AB23" s="68">
        <v>8120</v>
      </c>
      <c r="AC23" s="10"/>
      <c r="AD23" s="10"/>
      <c r="AE23" s="68">
        <v>2000</v>
      </c>
      <c r="AF23" s="68">
        <v>15000</v>
      </c>
      <c r="AG23" s="10"/>
      <c r="AH23" s="21"/>
      <c r="AI23" s="20"/>
      <c r="AJ23" s="10"/>
      <c r="AK23" s="11"/>
      <c r="AL23" s="24"/>
      <c r="AM23" s="31"/>
      <c r="AO23" s="9">
        <v>4500</v>
      </c>
      <c r="AP23" s="9">
        <v>5000</v>
      </c>
      <c r="AQ23" s="9">
        <v>25000</v>
      </c>
      <c r="AR23" s="9">
        <v>7000</v>
      </c>
      <c r="AS23" s="9">
        <v>20000</v>
      </c>
      <c r="AT23" s="9">
        <v>10000</v>
      </c>
      <c r="AU23" s="9"/>
      <c r="AV23" s="11"/>
      <c r="AW23" s="68">
        <v>21130</v>
      </c>
      <c r="AX23" s="68">
        <v>4320</v>
      </c>
      <c r="AY23" s="68">
        <v>118000</v>
      </c>
      <c r="AZ23" s="10"/>
      <c r="BA23" s="68">
        <v>13000</v>
      </c>
      <c r="BB23" s="68">
        <v>5500</v>
      </c>
      <c r="BC23" s="68">
        <v>4500</v>
      </c>
      <c r="BD23" s="21"/>
      <c r="BE23" s="20" t="s">
        <v>5</v>
      </c>
      <c r="BF23" s="10">
        <v>201000</v>
      </c>
      <c r="BG23" s="11"/>
      <c r="BH23" s="24"/>
      <c r="BI23" s="31">
        <v>140260</v>
      </c>
      <c r="BK23" s="9">
        <v>21000</v>
      </c>
      <c r="BL23" s="9">
        <v>8500</v>
      </c>
      <c r="BM23" s="9">
        <v>1000</v>
      </c>
      <c r="BN23" s="9">
        <v>3000</v>
      </c>
      <c r="BO23" s="9">
        <v>1000</v>
      </c>
      <c r="BP23" s="9">
        <v>5500</v>
      </c>
      <c r="BQ23" s="9">
        <v>1300</v>
      </c>
      <c r="BR23" s="11"/>
      <c r="BS23" s="68">
        <v>56970</v>
      </c>
      <c r="BT23" s="68">
        <v>7000</v>
      </c>
      <c r="BU23" s="10"/>
      <c r="BV23" s="68">
        <v>6500</v>
      </c>
      <c r="BW23" s="68">
        <v>8800</v>
      </c>
      <c r="BX23" s="10"/>
      <c r="BY23" s="21"/>
      <c r="BZ23" s="20"/>
      <c r="CA23" s="10"/>
      <c r="CB23" s="11"/>
      <c r="CC23" s="24"/>
      <c r="CD23" s="31"/>
      <c r="CE23" s="24"/>
      <c r="CF23" s="9">
        <v>2500</v>
      </c>
      <c r="CG23" s="9">
        <v>1000</v>
      </c>
      <c r="CH23" s="9">
        <v>3500</v>
      </c>
      <c r="CI23" s="9">
        <v>600</v>
      </c>
      <c r="CJ23" s="9">
        <v>3500</v>
      </c>
      <c r="CK23" s="9">
        <v>4500</v>
      </c>
      <c r="CL23" s="9"/>
      <c r="CM23" s="11"/>
      <c r="CN23" s="68">
        <v>92130</v>
      </c>
      <c r="CO23" s="68">
        <v>32520</v>
      </c>
      <c r="CP23" s="10"/>
      <c r="CQ23" s="68">
        <v>25000</v>
      </c>
      <c r="CR23" s="68">
        <v>25000</v>
      </c>
      <c r="CS23" s="68">
        <v>15000</v>
      </c>
      <c r="CT23" s="21"/>
      <c r="CU23" s="20"/>
      <c r="CV23" s="10"/>
      <c r="CW23" s="11"/>
      <c r="CX23" s="24"/>
      <c r="CY23" s="31"/>
    </row>
    <row r="24" spans="1:103">
      <c r="A24" s="9">
        <v>4500</v>
      </c>
      <c r="B24" s="9"/>
      <c r="C24" s="9"/>
      <c r="D24" s="9"/>
      <c r="E24" s="9"/>
      <c r="F24" s="9"/>
      <c r="G24" s="9"/>
      <c r="H24" s="11"/>
      <c r="I24" s="10">
        <v>5000</v>
      </c>
      <c r="J24" s="10"/>
      <c r="K24" s="10"/>
      <c r="L24" s="10"/>
      <c r="M24" s="21"/>
      <c r="N24" s="20"/>
      <c r="O24" s="10"/>
      <c r="P24" s="11"/>
      <c r="Q24" s="24"/>
      <c r="R24" s="24"/>
      <c r="S24" s="24"/>
      <c r="T24" s="9">
        <v>10000</v>
      </c>
      <c r="U24" s="9">
        <v>10500</v>
      </c>
      <c r="V24" s="9">
        <v>20000</v>
      </c>
      <c r="W24" s="9">
        <v>12000</v>
      </c>
      <c r="X24" s="9">
        <v>9600</v>
      </c>
      <c r="Y24" s="9">
        <v>3500</v>
      </c>
      <c r="Z24" s="9">
        <v>6500</v>
      </c>
      <c r="AA24" s="11"/>
      <c r="AB24" s="68">
        <v>4320</v>
      </c>
      <c r="AC24" s="10"/>
      <c r="AD24" s="10"/>
      <c r="AE24" s="68">
        <v>12500</v>
      </c>
      <c r="AF24" s="68">
        <v>2700</v>
      </c>
      <c r="AG24" s="10"/>
      <c r="AH24" s="21"/>
      <c r="AI24" s="20"/>
      <c r="AJ24" s="10"/>
      <c r="AK24" s="11"/>
      <c r="AL24" s="24"/>
      <c r="AM24" s="24"/>
      <c r="AO24" s="9">
        <v>1100</v>
      </c>
      <c r="AP24" s="9">
        <v>2000</v>
      </c>
      <c r="AQ24" s="9">
        <v>2000</v>
      </c>
      <c r="AR24" s="9">
        <v>1500</v>
      </c>
      <c r="AS24" s="9">
        <v>1000</v>
      </c>
      <c r="AT24" s="9">
        <v>4500</v>
      </c>
      <c r="AU24" s="9"/>
      <c r="AV24" s="11"/>
      <c r="AW24" s="68">
        <v>17270</v>
      </c>
      <c r="AX24" s="68">
        <v>11530</v>
      </c>
      <c r="AY24" s="68">
        <v>12000</v>
      </c>
      <c r="AZ24" s="10"/>
      <c r="BA24" s="68">
        <v>7000</v>
      </c>
      <c r="BB24" s="68">
        <v>11400</v>
      </c>
      <c r="BC24" s="68">
        <v>6400</v>
      </c>
      <c r="BD24" s="21"/>
      <c r="BE24" s="20"/>
      <c r="BF24" s="10"/>
      <c r="BG24" s="11"/>
      <c r="BH24" s="24"/>
      <c r="BI24" s="24"/>
      <c r="BK24" s="9">
        <v>16500</v>
      </c>
      <c r="BL24" s="9">
        <v>2000</v>
      </c>
      <c r="BM24" s="9">
        <v>4500</v>
      </c>
      <c r="BN24" s="9">
        <v>10000</v>
      </c>
      <c r="BO24" s="9">
        <v>2500</v>
      </c>
      <c r="BP24" s="9">
        <v>5000</v>
      </c>
      <c r="BQ24" s="9">
        <v>500</v>
      </c>
      <c r="BR24" s="11"/>
      <c r="BS24" s="68">
        <v>2500</v>
      </c>
      <c r="BT24" s="68">
        <v>5000</v>
      </c>
      <c r="BU24" s="10"/>
      <c r="BV24" s="68">
        <v>6000</v>
      </c>
      <c r="BW24" s="68">
        <v>7500</v>
      </c>
      <c r="BX24" s="10"/>
      <c r="BY24" s="21"/>
      <c r="BZ24" s="20"/>
      <c r="CA24" s="10"/>
      <c r="CB24" s="11"/>
      <c r="CC24" s="24"/>
      <c r="CD24" s="24"/>
      <c r="CE24" s="24"/>
      <c r="CF24" s="9">
        <v>2000</v>
      </c>
      <c r="CG24" s="9">
        <v>3200</v>
      </c>
      <c r="CH24" s="9">
        <v>1500</v>
      </c>
      <c r="CI24" s="9">
        <v>18900</v>
      </c>
      <c r="CJ24" s="9">
        <v>8100</v>
      </c>
      <c r="CK24" s="9">
        <v>3000</v>
      </c>
      <c r="CL24" s="9"/>
      <c r="CM24" s="11"/>
      <c r="CN24" s="68">
        <v>2400</v>
      </c>
      <c r="CO24" s="68">
        <v>8650</v>
      </c>
      <c r="CP24" s="10"/>
      <c r="CQ24" s="68">
        <v>9000</v>
      </c>
      <c r="CR24" s="68">
        <v>6400</v>
      </c>
      <c r="CS24" s="68">
        <v>42200</v>
      </c>
      <c r="CT24" s="21"/>
      <c r="CU24" s="20"/>
      <c r="CV24" s="10"/>
      <c r="CW24" s="11"/>
      <c r="CX24" s="24"/>
      <c r="CY24" s="24"/>
    </row>
    <row r="25" spans="1:103">
      <c r="A25" s="9">
        <v>2500</v>
      </c>
      <c r="B25" s="9"/>
      <c r="C25" s="9"/>
      <c r="D25" s="9"/>
      <c r="E25" s="9"/>
      <c r="F25" s="9"/>
      <c r="G25" s="9"/>
      <c r="H25" s="11"/>
      <c r="I25" s="10">
        <v>7600</v>
      </c>
      <c r="J25" s="10"/>
      <c r="K25" s="10"/>
      <c r="L25" s="10"/>
      <c r="M25" s="21"/>
      <c r="N25" s="20"/>
      <c r="O25" s="10"/>
      <c r="P25" s="11"/>
      <c r="Q25" s="24"/>
      <c r="R25" s="24"/>
      <c r="S25" s="24"/>
      <c r="T25" s="9">
        <v>5500</v>
      </c>
      <c r="U25" s="9">
        <v>28500</v>
      </c>
      <c r="V25" s="9">
        <v>6500</v>
      </c>
      <c r="W25" s="9">
        <v>3400</v>
      </c>
      <c r="X25" s="9">
        <v>11800</v>
      </c>
      <c r="Y25" s="9">
        <v>2000</v>
      </c>
      <c r="Z25" s="9">
        <v>3500</v>
      </c>
      <c r="AA25" s="11"/>
      <c r="AB25" s="68">
        <v>16000</v>
      </c>
      <c r="AC25" s="10"/>
      <c r="AD25" s="10"/>
      <c r="AE25" s="68">
        <v>21000</v>
      </c>
      <c r="AF25" s="68">
        <v>2000</v>
      </c>
      <c r="AG25" s="10"/>
      <c r="AH25" s="21"/>
      <c r="AI25" s="20"/>
      <c r="AJ25" s="10"/>
      <c r="AK25" s="11"/>
      <c r="AL25" s="24"/>
      <c r="AM25" s="24"/>
      <c r="AO25" s="9">
        <v>8000</v>
      </c>
      <c r="AP25" s="9">
        <v>2000</v>
      </c>
      <c r="AQ25" s="9">
        <v>2000</v>
      </c>
      <c r="AR25" s="9">
        <v>3200</v>
      </c>
      <c r="AS25" s="9">
        <v>1000</v>
      </c>
      <c r="AT25" s="9">
        <v>3500</v>
      </c>
      <c r="AU25" s="9"/>
      <c r="AV25" s="11"/>
      <c r="AW25" s="68">
        <v>6800</v>
      </c>
      <c r="AX25" s="68">
        <v>38430</v>
      </c>
      <c r="AY25" s="68">
        <v>2300</v>
      </c>
      <c r="AZ25" s="10"/>
      <c r="BA25" s="68">
        <v>300</v>
      </c>
      <c r="BB25" s="68">
        <v>4500</v>
      </c>
      <c r="BC25" s="68">
        <v>500</v>
      </c>
      <c r="BD25" s="21"/>
      <c r="BE25" s="20"/>
      <c r="BF25" s="10"/>
      <c r="BG25" s="11"/>
      <c r="BH25" s="24"/>
      <c r="BI25" s="24"/>
      <c r="BK25" s="9">
        <v>16500</v>
      </c>
      <c r="BL25" s="9">
        <v>1500</v>
      </c>
      <c r="BM25" s="9">
        <v>1200</v>
      </c>
      <c r="BN25" s="9">
        <v>25000</v>
      </c>
      <c r="BO25" s="9">
        <v>9000</v>
      </c>
      <c r="BP25" s="9">
        <v>6500</v>
      </c>
      <c r="BQ25" s="9">
        <v>2500</v>
      </c>
      <c r="BR25" s="11"/>
      <c r="BS25" s="68">
        <v>1000</v>
      </c>
      <c r="BT25" s="68">
        <v>10160</v>
      </c>
      <c r="BU25" s="10"/>
      <c r="BV25" s="68">
        <v>1600</v>
      </c>
      <c r="BW25" s="68">
        <v>3000</v>
      </c>
      <c r="BX25" s="10"/>
      <c r="BY25" s="21"/>
      <c r="BZ25" s="20"/>
      <c r="CA25" s="10"/>
      <c r="CB25" s="11"/>
      <c r="CC25" s="24"/>
      <c r="CD25" s="24"/>
      <c r="CE25" s="24"/>
      <c r="CF25" s="9">
        <v>5000</v>
      </c>
      <c r="CG25" s="9">
        <v>800</v>
      </c>
      <c r="CH25" s="9">
        <v>1000</v>
      </c>
      <c r="CI25" s="9">
        <v>200</v>
      </c>
      <c r="CJ25" s="9">
        <v>1000</v>
      </c>
      <c r="CK25" s="9">
        <v>6000</v>
      </c>
      <c r="CL25" s="9"/>
      <c r="CM25" s="11"/>
      <c r="CN25" s="68">
        <v>19220</v>
      </c>
      <c r="CO25" s="68">
        <v>29780</v>
      </c>
      <c r="CP25" s="10"/>
      <c r="CQ25" s="68">
        <v>8500</v>
      </c>
      <c r="CR25" s="68">
        <v>8000</v>
      </c>
      <c r="CS25" s="68">
        <v>8000</v>
      </c>
      <c r="CT25" s="21"/>
      <c r="CU25" s="20"/>
      <c r="CV25" s="10"/>
      <c r="CW25" s="11"/>
      <c r="CX25" s="24"/>
      <c r="CY25" s="24"/>
    </row>
    <row r="26" spans="1:103">
      <c r="A26" s="9">
        <v>3000</v>
      </c>
      <c r="B26" s="9"/>
      <c r="C26" s="9"/>
      <c r="D26" s="9"/>
      <c r="E26" s="9"/>
      <c r="F26" s="9"/>
      <c r="G26" s="9"/>
      <c r="H26" s="11"/>
      <c r="I26" s="10">
        <v>6000</v>
      </c>
      <c r="J26" s="10"/>
      <c r="K26" s="10"/>
      <c r="L26" s="10"/>
      <c r="M26" s="21"/>
      <c r="N26" s="20"/>
      <c r="O26" s="10"/>
      <c r="P26" s="11"/>
      <c r="Q26" s="24"/>
      <c r="R26" s="24"/>
      <c r="S26" s="24"/>
      <c r="T26" s="9">
        <v>5000</v>
      </c>
      <c r="U26" s="9">
        <v>9200</v>
      </c>
      <c r="V26" s="9">
        <v>6000</v>
      </c>
      <c r="W26" s="9">
        <v>1800</v>
      </c>
      <c r="X26" s="9">
        <v>4000</v>
      </c>
      <c r="Y26" s="9">
        <v>1000</v>
      </c>
      <c r="Z26" s="9">
        <v>1000</v>
      </c>
      <c r="AA26" s="11"/>
      <c r="AB26" s="68">
        <v>13930</v>
      </c>
      <c r="AC26" s="10"/>
      <c r="AD26" s="10"/>
      <c r="AE26" s="68">
        <v>4000</v>
      </c>
      <c r="AF26" s="68">
        <v>4950</v>
      </c>
      <c r="AG26" s="10"/>
      <c r="AH26" s="21"/>
      <c r="AI26" s="20"/>
      <c r="AJ26" s="10"/>
      <c r="AK26" s="11"/>
      <c r="AL26" s="24"/>
      <c r="AM26" s="24"/>
      <c r="AO26" s="9">
        <v>2600</v>
      </c>
      <c r="AP26" s="9">
        <v>800</v>
      </c>
      <c r="AQ26" s="9">
        <v>4500</v>
      </c>
      <c r="AR26" s="9">
        <v>45500</v>
      </c>
      <c r="AS26" s="9">
        <v>8500</v>
      </c>
      <c r="AT26" s="9">
        <v>10000</v>
      </c>
      <c r="AU26" s="9"/>
      <c r="AV26" s="11"/>
      <c r="AW26" s="68">
        <v>44290</v>
      </c>
      <c r="AX26" s="68">
        <v>16000</v>
      </c>
      <c r="AY26" s="68">
        <v>12490</v>
      </c>
      <c r="AZ26" s="10"/>
      <c r="BA26" s="68">
        <v>10000</v>
      </c>
      <c r="BB26" s="68">
        <v>9800</v>
      </c>
      <c r="BC26" s="68">
        <v>4500</v>
      </c>
      <c r="BD26" s="21"/>
      <c r="BE26" s="20"/>
      <c r="BF26" s="10"/>
      <c r="BG26" s="11"/>
      <c r="BH26" s="24"/>
      <c r="BI26" s="24"/>
      <c r="BK26" s="9">
        <v>3000</v>
      </c>
      <c r="BL26" s="9">
        <v>4000</v>
      </c>
      <c r="BM26" s="9">
        <v>7500</v>
      </c>
      <c r="BN26" s="9">
        <v>8000</v>
      </c>
      <c r="BO26" s="9">
        <v>16000</v>
      </c>
      <c r="BP26" s="9">
        <v>4500</v>
      </c>
      <c r="BQ26" s="9">
        <v>7000</v>
      </c>
      <c r="BR26" s="11"/>
      <c r="BS26" s="68">
        <v>2880</v>
      </c>
      <c r="BT26" s="68">
        <v>8000</v>
      </c>
      <c r="BU26" s="10"/>
      <c r="BV26" s="68">
        <v>55000</v>
      </c>
      <c r="BW26" s="68">
        <v>2300</v>
      </c>
      <c r="BX26" s="10"/>
      <c r="BY26" s="21"/>
      <c r="BZ26" s="20"/>
      <c r="CA26" s="10"/>
      <c r="CB26" s="11"/>
      <c r="CC26" s="24"/>
      <c r="CD26" s="24"/>
      <c r="CE26" s="24"/>
      <c r="CF26" s="9">
        <v>10000</v>
      </c>
      <c r="CG26" s="9">
        <v>2000</v>
      </c>
      <c r="CH26" s="9">
        <v>2000</v>
      </c>
      <c r="CI26" s="9">
        <v>8200</v>
      </c>
      <c r="CJ26" s="9">
        <v>1000</v>
      </c>
      <c r="CK26" s="9">
        <v>12000</v>
      </c>
      <c r="CL26" s="9"/>
      <c r="CM26" s="11"/>
      <c r="CN26" s="68">
        <v>5770</v>
      </c>
      <c r="CO26" s="68">
        <v>580</v>
      </c>
      <c r="CP26" s="10"/>
      <c r="CQ26" s="68">
        <v>3500</v>
      </c>
      <c r="CR26" s="68">
        <v>4500</v>
      </c>
      <c r="CS26" s="68">
        <v>12000</v>
      </c>
      <c r="CT26" s="21"/>
      <c r="CU26" s="20"/>
      <c r="CV26" s="10"/>
      <c r="CW26" s="11"/>
      <c r="CX26" s="24"/>
      <c r="CY26" s="24"/>
    </row>
    <row r="27" spans="1:103">
      <c r="A27" s="9">
        <v>50000</v>
      </c>
      <c r="B27" s="9"/>
      <c r="C27" s="9"/>
      <c r="D27" s="9"/>
      <c r="E27" s="9"/>
      <c r="F27" s="9"/>
      <c r="G27" s="9"/>
      <c r="H27" s="11"/>
      <c r="I27" s="10">
        <v>500</v>
      </c>
      <c r="J27" s="10"/>
      <c r="K27" s="10"/>
      <c r="L27" s="10"/>
      <c r="M27" s="21"/>
      <c r="N27" s="20"/>
      <c r="O27" s="10"/>
      <c r="P27" s="11"/>
      <c r="Q27" s="24"/>
      <c r="R27" s="24"/>
      <c r="S27" s="24"/>
      <c r="T27" s="9">
        <v>1600</v>
      </c>
      <c r="U27" s="9">
        <v>14500</v>
      </c>
      <c r="V27" s="9">
        <v>2500</v>
      </c>
      <c r="W27" s="9">
        <v>1800</v>
      </c>
      <c r="X27" s="9">
        <v>22200</v>
      </c>
      <c r="Y27" s="9">
        <v>4500</v>
      </c>
      <c r="Z27" s="9">
        <v>200</v>
      </c>
      <c r="AA27" s="11"/>
      <c r="AB27" s="68">
        <v>2230</v>
      </c>
      <c r="AC27" s="10"/>
      <c r="AD27" s="10"/>
      <c r="AE27" s="68">
        <v>100</v>
      </c>
      <c r="AF27" s="68">
        <v>24000</v>
      </c>
      <c r="AG27" s="10"/>
      <c r="AH27" s="21"/>
      <c r="AI27" s="20"/>
      <c r="AJ27" s="10"/>
      <c r="AK27" s="11"/>
      <c r="AL27" s="24"/>
      <c r="AM27" s="24"/>
      <c r="AO27" s="9">
        <v>8000</v>
      </c>
      <c r="AP27" s="9">
        <v>3000</v>
      </c>
      <c r="AQ27" s="9">
        <v>12500</v>
      </c>
      <c r="AR27" s="9">
        <v>1500</v>
      </c>
      <c r="AS27" s="9">
        <v>9000</v>
      </c>
      <c r="AT27" s="9">
        <v>1400</v>
      </c>
      <c r="AU27" s="9"/>
      <c r="AV27" s="11"/>
      <c r="AW27" s="68">
        <v>3900</v>
      </c>
      <c r="AX27" s="68">
        <v>7690</v>
      </c>
      <c r="AY27" s="68">
        <v>24000</v>
      </c>
      <c r="AZ27" s="10"/>
      <c r="BA27" s="68">
        <v>5000</v>
      </c>
      <c r="BB27" s="68">
        <v>1500</v>
      </c>
      <c r="BC27" s="10"/>
      <c r="BD27" s="21"/>
      <c r="BE27" s="20"/>
      <c r="BF27" s="10"/>
      <c r="BG27" s="11"/>
      <c r="BH27" s="24"/>
      <c r="BI27" s="24"/>
      <c r="BK27" s="9">
        <v>25000</v>
      </c>
      <c r="BL27" s="9">
        <v>800</v>
      </c>
      <c r="BM27" s="9">
        <v>3000</v>
      </c>
      <c r="BN27" s="9">
        <v>4000</v>
      </c>
      <c r="BO27" s="9">
        <v>10500</v>
      </c>
      <c r="BP27" s="9">
        <v>2000</v>
      </c>
      <c r="BQ27" s="9">
        <v>8500</v>
      </c>
      <c r="BR27" s="11"/>
      <c r="BS27" s="68">
        <v>1440</v>
      </c>
      <c r="BT27" s="68">
        <v>2500</v>
      </c>
      <c r="BU27" s="10"/>
      <c r="BV27" s="68">
        <v>6700</v>
      </c>
      <c r="BW27" s="68">
        <v>8000</v>
      </c>
      <c r="BX27" s="10"/>
      <c r="BY27" s="21"/>
      <c r="BZ27" s="20"/>
      <c r="CA27" s="10"/>
      <c r="CB27" s="11"/>
      <c r="CC27" s="24"/>
      <c r="CD27" s="24"/>
      <c r="CE27" s="24"/>
      <c r="CF27" s="9">
        <v>26500</v>
      </c>
      <c r="CG27" s="9">
        <v>8500</v>
      </c>
      <c r="CH27" s="9">
        <v>1500</v>
      </c>
      <c r="CI27" s="9">
        <v>4000</v>
      </c>
      <c r="CJ27" s="9">
        <v>2500</v>
      </c>
      <c r="CK27" s="9">
        <v>2500</v>
      </c>
      <c r="CL27" s="9"/>
      <c r="CM27" s="11"/>
      <c r="CN27" s="68">
        <v>12300</v>
      </c>
      <c r="CO27" s="68">
        <v>3840</v>
      </c>
      <c r="CP27" s="10"/>
      <c r="CQ27" s="68">
        <v>3000</v>
      </c>
      <c r="CR27" s="68">
        <v>5000</v>
      </c>
      <c r="CS27" s="68">
        <v>1000</v>
      </c>
      <c r="CT27" s="21"/>
      <c r="CU27" s="20"/>
      <c r="CV27" s="10"/>
      <c r="CW27" s="11"/>
      <c r="CX27" s="24"/>
      <c r="CY27" s="24"/>
    </row>
    <row r="28" spans="1:103">
      <c r="A28" s="9">
        <v>3500</v>
      </c>
      <c r="B28" s="9"/>
      <c r="C28" s="9"/>
      <c r="D28" s="9"/>
      <c r="E28" s="9"/>
      <c r="F28" s="9"/>
      <c r="G28" s="9"/>
      <c r="H28" s="11"/>
      <c r="I28" s="10">
        <v>5000</v>
      </c>
      <c r="J28" s="10"/>
      <c r="K28" s="10"/>
      <c r="L28" s="10"/>
      <c r="M28" s="21"/>
      <c r="N28" s="20"/>
      <c r="O28" s="10"/>
      <c r="P28" s="11"/>
      <c r="Q28" s="24"/>
      <c r="R28" s="34"/>
      <c r="S28" s="24"/>
      <c r="T28" s="9">
        <v>8500</v>
      </c>
      <c r="U28" s="9">
        <v>4000</v>
      </c>
      <c r="V28" s="9">
        <v>1000</v>
      </c>
      <c r="W28" s="9">
        <v>10000</v>
      </c>
      <c r="X28" s="9">
        <v>20500</v>
      </c>
      <c r="Y28" s="9">
        <v>7000</v>
      </c>
      <c r="Z28" s="9"/>
      <c r="AA28" s="11"/>
      <c r="AB28" s="68">
        <v>2900</v>
      </c>
      <c r="AC28" s="10"/>
      <c r="AD28" s="10"/>
      <c r="AE28" s="68">
        <v>2000</v>
      </c>
      <c r="AF28" s="68">
        <v>4000</v>
      </c>
      <c r="AG28" s="10"/>
      <c r="AH28" s="21"/>
      <c r="AI28" s="20"/>
      <c r="AJ28" s="10"/>
      <c r="AK28" s="11"/>
      <c r="AL28" s="24"/>
      <c r="AM28" s="34"/>
      <c r="AO28" s="9">
        <v>1700</v>
      </c>
      <c r="AP28" s="9">
        <v>2500</v>
      </c>
      <c r="AQ28" s="9">
        <v>3500</v>
      </c>
      <c r="AR28" s="9">
        <v>9000</v>
      </c>
      <c r="AS28" s="9">
        <v>5500</v>
      </c>
      <c r="AT28" s="9">
        <v>5000</v>
      </c>
      <c r="AU28" s="9"/>
      <c r="AV28" s="11"/>
      <c r="AW28" s="68">
        <v>10090</v>
      </c>
      <c r="AX28" s="68">
        <v>38000</v>
      </c>
      <c r="AY28" s="68">
        <v>6000</v>
      </c>
      <c r="AZ28" s="10"/>
      <c r="BA28" s="68">
        <v>3500</v>
      </c>
      <c r="BB28" s="68">
        <v>1200</v>
      </c>
      <c r="BC28" s="10"/>
      <c r="BD28" s="21"/>
      <c r="BE28" s="20"/>
      <c r="BF28" s="10"/>
      <c r="BG28" s="11"/>
      <c r="BH28" s="24"/>
      <c r="BI28" s="34"/>
      <c r="BK28" s="9">
        <v>6000</v>
      </c>
      <c r="BL28" s="9">
        <v>17000</v>
      </c>
      <c r="BM28" s="9">
        <v>17000</v>
      </c>
      <c r="BN28" s="9">
        <v>15000</v>
      </c>
      <c r="BO28" s="9">
        <v>3500</v>
      </c>
      <c r="BP28" s="9">
        <v>10000</v>
      </c>
      <c r="BQ28" s="9">
        <v>4500</v>
      </c>
      <c r="BR28" s="11"/>
      <c r="BS28" s="68">
        <v>1480</v>
      </c>
      <c r="BT28" s="68">
        <v>5000</v>
      </c>
      <c r="BU28" s="10"/>
      <c r="BV28" s="68">
        <v>1500</v>
      </c>
      <c r="BW28" s="68">
        <v>1000</v>
      </c>
      <c r="BX28" s="10"/>
      <c r="BY28" s="21"/>
      <c r="BZ28" s="20"/>
      <c r="CA28" s="10"/>
      <c r="CB28" s="11"/>
      <c r="CC28" s="24"/>
      <c r="CD28" s="34"/>
      <c r="CE28" s="24"/>
      <c r="CF28" s="9">
        <v>8500</v>
      </c>
      <c r="CG28" s="9">
        <v>1400</v>
      </c>
      <c r="CH28" s="9">
        <v>5000</v>
      </c>
      <c r="CI28" s="9">
        <v>1500</v>
      </c>
      <c r="CJ28" s="9">
        <v>1000</v>
      </c>
      <c r="CK28" s="9">
        <v>7000</v>
      </c>
      <c r="CL28" s="9"/>
      <c r="CM28" s="11"/>
      <c r="CN28" s="68">
        <v>5000</v>
      </c>
      <c r="CO28" s="68">
        <v>10570</v>
      </c>
      <c r="CP28" s="10"/>
      <c r="CQ28" s="68">
        <v>6800</v>
      </c>
      <c r="CR28" s="68">
        <v>31000</v>
      </c>
      <c r="CS28" s="68">
        <v>11500</v>
      </c>
      <c r="CT28" s="21"/>
      <c r="CU28" s="20"/>
      <c r="CV28" s="10"/>
      <c r="CW28" s="11"/>
      <c r="CX28" s="24"/>
      <c r="CY28" s="34"/>
    </row>
    <row r="29" spans="1:103">
      <c r="A29" s="9">
        <v>93000</v>
      </c>
      <c r="B29" s="9"/>
      <c r="C29" s="9"/>
      <c r="D29" s="9"/>
      <c r="E29" s="9"/>
      <c r="F29" s="9"/>
      <c r="G29" s="9"/>
      <c r="H29" s="11"/>
      <c r="I29" s="10">
        <v>13500</v>
      </c>
      <c r="J29" s="10"/>
      <c r="K29" s="10"/>
      <c r="L29" s="10"/>
      <c r="M29" s="21"/>
      <c r="N29" s="20"/>
      <c r="O29" s="10"/>
      <c r="P29" s="11"/>
      <c r="Q29" s="24"/>
      <c r="R29" s="24"/>
      <c r="S29" s="24"/>
      <c r="T29" s="9">
        <v>5500</v>
      </c>
      <c r="U29" s="9">
        <v>4500</v>
      </c>
      <c r="V29" s="9">
        <v>17700</v>
      </c>
      <c r="W29" s="9">
        <v>1600</v>
      </c>
      <c r="X29" s="9">
        <v>21500</v>
      </c>
      <c r="Y29" s="9">
        <v>11000</v>
      </c>
      <c r="Z29" s="9"/>
      <c r="AA29" s="11"/>
      <c r="AB29" s="68">
        <v>4950</v>
      </c>
      <c r="AC29" s="10"/>
      <c r="AD29" s="10"/>
      <c r="AE29" s="68">
        <v>1500</v>
      </c>
      <c r="AF29" s="68">
        <v>12000</v>
      </c>
      <c r="AG29" s="10"/>
      <c r="AH29" s="21"/>
      <c r="AI29" s="20"/>
      <c r="AJ29" s="10"/>
      <c r="AK29" s="11"/>
      <c r="AL29" s="24"/>
      <c r="AM29" s="24"/>
      <c r="AO29" s="9">
        <v>4500</v>
      </c>
      <c r="AP29" s="9">
        <v>4700</v>
      </c>
      <c r="AQ29" s="9">
        <v>7000</v>
      </c>
      <c r="AR29" s="9">
        <v>44500</v>
      </c>
      <c r="AS29" s="9">
        <v>2000</v>
      </c>
      <c r="AT29" s="9">
        <v>8000</v>
      </c>
      <c r="AU29" s="9"/>
      <c r="AV29" s="11"/>
      <c r="AW29" s="68">
        <v>3360</v>
      </c>
      <c r="AX29" s="68">
        <v>5760</v>
      </c>
      <c r="AY29" s="68">
        <v>57000</v>
      </c>
      <c r="AZ29" s="10"/>
      <c r="BA29" s="68">
        <v>12000</v>
      </c>
      <c r="BB29" s="68">
        <v>5500</v>
      </c>
      <c r="BC29" s="10"/>
      <c r="BD29" s="21"/>
      <c r="BE29" s="20" t="s">
        <v>50</v>
      </c>
      <c r="BF29" s="10">
        <v>300000</v>
      </c>
      <c r="BG29" s="11"/>
      <c r="BH29" s="24"/>
      <c r="BI29" s="24"/>
      <c r="BK29" s="9">
        <v>27800</v>
      </c>
      <c r="BL29" s="9">
        <v>8000</v>
      </c>
      <c r="BM29" s="9">
        <v>1600</v>
      </c>
      <c r="BN29" s="9">
        <v>11000</v>
      </c>
      <c r="BO29" s="9">
        <v>2500</v>
      </c>
      <c r="BP29" s="9">
        <v>3600</v>
      </c>
      <c r="BQ29" s="9">
        <v>1800</v>
      </c>
      <c r="BR29" s="11"/>
      <c r="BS29" s="68">
        <v>46600</v>
      </c>
      <c r="BT29" s="68">
        <v>20000</v>
      </c>
      <c r="BU29" s="10"/>
      <c r="BV29" s="68">
        <v>3500</v>
      </c>
      <c r="BW29" s="68">
        <v>11000</v>
      </c>
      <c r="BX29" s="10"/>
      <c r="BY29" s="21"/>
      <c r="BZ29" s="20" t="s">
        <v>53</v>
      </c>
      <c r="CA29" s="10">
        <v>270000</v>
      </c>
      <c r="CB29" s="11"/>
      <c r="CC29" s="24"/>
      <c r="CD29" s="24"/>
      <c r="CE29" s="24"/>
      <c r="CF29" s="9">
        <v>8500</v>
      </c>
      <c r="CG29" s="9">
        <v>3000</v>
      </c>
      <c r="CH29" s="9">
        <v>3000</v>
      </c>
      <c r="CI29" s="9">
        <v>6400</v>
      </c>
      <c r="CJ29" s="9">
        <v>4900</v>
      </c>
      <c r="CK29" s="9">
        <v>27000</v>
      </c>
      <c r="CL29" s="9"/>
      <c r="CM29" s="11"/>
      <c r="CN29" s="68">
        <v>11000</v>
      </c>
      <c r="CO29" s="68">
        <v>3420</v>
      </c>
      <c r="CP29" s="10"/>
      <c r="CQ29" s="68">
        <v>5000</v>
      </c>
      <c r="CR29" s="68">
        <v>1000</v>
      </c>
      <c r="CS29" s="68">
        <v>10000</v>
      </c>
      <c r="CT29" s="21"/>
      <c r="CU29" s="20"/>
      <c r="CV29" s="10"/>
      <c r="CW29" s="11"/>
      <c r="CX29" s="24"/>
      <c r="CY29" s="24"/>
    </row>
    <row r="30" spans="1:103">
      <c r="A30" s="9">
        <v>7500</v>
      </c>
      <c r="B30" s="9"/>
      <c r="C30" s="9"/>
      <c r="D30" s="9"/>
      <c r="E30" s="9"/>
      <c r="F30" s="9"/>
      <c r="G30" s="9"/>
      <c r="H30" s="11"/>
      <c r="I30" s="10">
        <v>800</v>
      </c>
      <c r="J30" s="10"/>
      <c r="K30" s="10"/>
      <c r="L30" s="10"/>
      <c r="M30" s="21"/>
      <c r="N30" s="20"/>
      <c r="O30" s="10"/>
      <c r="P30" s="11"/>
      <c r="Q30" s="24"/>
      <c r="R30" s="24"/>
      <c r="S30" s="24"/>
      <c r="T30" s="9">
        <v>1800</v>
      </c>
      <c r="U30" s="9">
        <v>3500</v>
      </c>
      <c r="V30" s="9">
        <v>11200</v>
      </c>
      <c r="W30" s="9">
        <v>1500</v>
      </c>
      <c r="X30" s="9">
        <v>9800</v>
      </c>
      <c r="Y30" s="9">
        <v>9500</v>
      </c>
      <c r="Z30" s="9"/>
      <c r="AA30" s="11"/>
      <c r="AB30" s="68">
        <v>4950</v>
      </c>
      <c r="AC30" s="10"/>
      <c r="AD30" s="10"/>
      <c r="AE30" s="68">
        <v>9000</v>
      </c>
      <c r="AF30" s="68">
        <v>32500</v>
      </c>
      <c r="AG30" s="10"/>
      <c r="AH30" s="21"/>
      <c r="AI30" s="20"/>
      <c r="AJ30" s="10"/>
      <c r="AK30" s="11"/>
      <c r="AL30" s="24"/>
      <c r="AM30" s="24"/>
      <c r="AO30" s="9">
        <v>6000</v>
      </c>
      <c r="AP30" s="9">
        <v>3000</v>
      </c>
      <c r="AQ30" s="9">
        <v>1000</v>
      </c>
      <c r="AR30" s="9">
        <v>3000</v>
      </c>
      <c r="AS30" s="9">
        <v>4000</v>
      </c>
      <c r="AT30" s="9">
        <v>3500</v>
      </c>
      <c r="AU30" s="9"/>
      <c r="AV30" s="11"/>
      <c r="AW30" s="68">
        <v>12200</v>
      </c>
      <c r="AX30" s="68">
        <v>3500</v>
      </c>
      <c r="AY30" s="68">
        <v>7000</v>
      </c>
      <c r="AZ30" s="10"/>
      <c r="BA30" s="68">
        <v>13000</v>
      </c>
      <c r="BB30" s="68">
        <v>2800</v>
      </c>
      <c r="BC30" s="10"/>
      <c r="BD30" s="21"/>
      <c r="BE30" s="20" t="s">
        <v>53</v>
      </c>
      <c r="BF30" s="10">
        <v>109500</v>
      </c>
      <c r="BG30" s="11"/>
      <c r="BH30" s="24"/>
      <c r="BI30" s="24"/>
      <c r="BK30" s="9">
        <v>1000</v>
      </c>
      <c r="BL30" s="9">
        <v>1500</v>
      </c>
      <c r="BM30" s="9">
        <v>1700</v>
      </c>
      <c r="BN30" s="9">
        <v>16000</v>
      </c>
      <c r="BO30" s="9">
        <v>1200</v>
      </c>
      <c r="BP30" s="9">
        <v>3000</v>
      </c>
      <c r="BQ30" s="9">
        <v>3000</v>
      </c>
      <c r="BR30" s="11"/>
      <c r="BS30" s="68">
        <v>3360</v>
      </c>
      <c r="BT30" s="68">
        <v>600</v>
      </c>
      <c r="BU30" s="10"/>
      <c r="BV30" s="68">
        <v>25000</v>
      </c>
      <c r="BW30" s="68">
        <v>13100</v>
      </c>
      <c r="BX30" s="10"/>
      <c r="BY30" s="21"/>
      <c r="BZ30" s="20" t="s">
        <v>53</v>
      </c>
      <c r="CA30" s="10">
        <v>30000</v>
      </c>
      <c r="CB30" s="11"/>
      <c r="CC30" s="24"/>
      <c r="CD30" s="24"/>
      <c r="CE30" s="24"/>
      <c r="CF30" s="9">
        <v>1500</v>
      </c>
      <c r="CG30" s="9">
        <v>9300</v>
      </c>
      <c r="CH30" s="9">
        <v>1000</v>
      </c>
      <c r="CI30" s="9">
        <v>20000</v>
      </c>
      <c r="CJ30" s="9">
        <v>2500</v>
      </c>
      <c r="CK30" s="9">
        <v>1500</v>
      </c>
      <c r="CL30" s="9"/>
      <c r="CM30" s="11"/>
      <c r="CN30" s="68">
        <v>7300</v>
      </c>
      <c r="CO30" s="68">
        <v>3960</v>
      </c>
      <c r="CP30" s="10"/>
      <c r="CQ30" s="68">
        <v>41100</v>
      </c>
      <c r="CR30" s="68">
        <v>500</v>
      </c>
      <c r="CS30" s="68">
        <v>10300</v>
      </c>
      <c r="CT30" s="21"/>
      <c r="CU30" s="20"/>
      <c r="CV30" s="10"/>
      <c r="CW30" s="11"/>
      <c r="CX30" s="24"/>
      <c r="CY30" s="24"/>
    </row>
    <row r="31" spans="1:103">
      <c r="A31" s="9">
        <v>4500</v>
      </c>
      <c r="B31" s="9"/>
      <c r="C31" s="9"/>
      <c r="D31" s="9"/>
      <c r="E31" s="9"/>
      <c r="F31" s="9"/>
      <c r="G31" s="9"/>
      <c r="H31" s="11"/>
      <c r="I31" s="10">
        <v>10500</v>
      </c>
      <c r="J31" s="10"/>
      <c r="K31" s="10"/>
      <c r="L31" s="10"/>
      <c r="M31" s="21"/>
      <c r="N31" s="20"/>
      <c r="O31" s="10"/>
      <c r="P31" s="11"/>
      <c r="Q31" s="24"/>
      <c r="R31" s="24"/>
      <c r="S31" s="24"/>
      <c r="T31" s="9">
        <v>13200</v>
      </c>
      <c r="U31" s="9">
        <v>3500</v>
      </c>
      <c r="V31" s="9">
        <v>8000</v>
      </c>
      <c r="W31" s="9">
        <v>8100</v>
      </c>
      <c r="X31" s="9">
        <v>2000</v>
      </c>
      <c r="Y31" s="9">
        <v>2500</v>
      </c>
      <c r="Z31" s="9"/>
      <c r="AA31" s="11"/>
      <c r="AB31" s="68">
        <v>4500</v>
      </c>
      <c r="AC31" s="10"/>
      <c r="AD31" s="10"/>
      <c r="AE31" s="68">
        <v>2700</v>
      </c>
      <c r="AF31" s="68">
        <v>16000</v>
      </c>
      <c r="AG31" s="10"/>
      <c r="AH31" s="21"/>
      <c r="AI31" s="20"/>
      <c r="AJ31" s="10"/>
      <c r="AK31" s="11"/>
      <c r="AL31" s="24"/>
      <c r="AM31" s="24"/>
      <c r="AO31" s="9">
        <v>2500</v>
      </c>
      <c r="AP31" s="9">
        <v>3000</v>
      </c>
      <c r="AQ31" s="9">
        <v>2500</v>
      </c>
      <c r="AR31" s="9">
        <v>6000</v>
      </c>
      <c r="AS31" s="9">
        <v>3000</v>
      </c>
      <c r="AT31" s="9">
        <v>15500</v>
      </c>
      <c r="AU31" s="9"/>
      <c r="AV31" s="11"/>
      <c r="AW31" s="68">
        <v>6000</v>
      </c>
      <c r="AX31" s="68">
        <v>8000</v>
      </c>
      <c r="AY31" s="68">
        <v>6720</v>
      </c>
      <c r="AZ31" s="10"/>
      <c r="BA31" s="68">
        <v>4500</v>
      </c>
      <c r="BB31" s="68">
        <v>35000</v>
      </c>
      <c r="BC31" s="10"/>
      <c r="BD31" s="21"/>
      <c r="BE31" s="20" t="s">
        <v>53</v>
      </c>
      <c r="BF31" s="10">
        <v>190500</v>
      </c>
      <c r="BG31" s="11"/>
      <c r="BH31" s="24"/>
      <c r="BI31" s="24"/>
      <c r="BK31" s="9">
        <v>7600</v>
      </c>
      <c r="BL31" s="9">
        <v>6000</v>
      </c>
      <c r="BM31" s="9">
        <v>3500</v>
      </c>
      <c r="BN31" s="9">
        <v>500</v>
      </c>
      <c r="BO31" s="9">
        <v>5500</v>
      </c>
      <c r="BP31" s="9">
        <v>49500</v>
      </c>
      <c r="BQ31" s="9">
        <v>14500</v>
      </c>
      <c r="BR31" s="11"/>
      <c r="BS31" s="68">
        <v>6730</v>
      </c>
      <c r="BT31" s="68">
        <v>2000</v>
      </c>
      <c r="BU31" s="10"/>
      <c r="BV31" s="68">
        <v>1800</v>
      </c>
      <c r="BW31" s="68">
        <v>4000</v>
      </c>
      <c r="BX31" s="10"/>
      <c r="BY31" s="21"/>
      <c r="BZ31" s="20" t="s">
        <v>50</v>
      </c>
      <c r="CA31" s="10">
        <v>300000</v>
      </c>
      <c r="CB31" s="11"/>
      <c r="CC31" s="24"/>
      <c r="CD31" s="24"/>
      <c r="CE31" s="24"/>
      <c r="CF31" s="9">
        <v>3000</v>
      </c>
      <c r="CG31" s="9">
        <v>25000</v>
      </c>
      <c r="CH31" s="9">
        <v>8000</v>
      </c>
      <c r="CI31" s="9">
        <v>2500</v>
      </c>
      <c r="CJ31" s="9">
        <v>8500</v>
      </c>
      <c r="CK31" s="9">
        <v>4500</v>
      </c>
      <c r="CL31" s="9"/>
      <c r="CM31" s="11"/>
      <c r="CN31" s="68">
        <v>1500</v>
      </c>
      <c r="CO31" s="68">
        <v>4500</v>
      </c>
      <c r="CP31" s="10"/>
      <c r="CQ31" s="68">
        <v>4500</v>
      </c>
      <c r="CR31" s="68">
        <v>5400</v>
      </c>
      <c r="CS31" s="68">
        <v>2000</v>
      </c>
      <c r="CT31" s="21"/>
      <c r="CU31" s="20"/>
      <c r="CV31" s="10"/>
      <c r="CW31" s="11"/>
      <c r="CX31" s="24"/>
      <c r="CY31" s="24"/>
    </row>
    <row r="32" spans="1:103">
      <c r="A32" s="9">
        <v>2000</v>
      </c>
      <c r="B32" s="9"/>
      <c r="C32" s="9"/>
      <c r="D32" s="9"/>
      <c r="E32" s="9"/>
      <c r="F32" s="9"/>
      <c r="G32" s="9"/>
      <c r="H32" s="11"/>
      <c r="I32" s="10">
        <v>10500</v>
      </c>
      <c r="J32" s="10"/>
      <c r="K32" s="10"/>
      <c r="L32" s="10"/>
      <c r="M32" s="21"/>
      <c r="N32" s="20"/>
      <c r="O32" s="10"/>
      <c r="P32" s="11"/>
      <c r="Q32" s="24"/>
      <c r="R32" s="24"/>
      <c r="S32" s="24"/>
      <c r="T32" s="9">
        <v>7250</v>
      </c>
      <c r="U32" s="9">
        <v>3000</v>
      </c>
      <c r="V32" s="9">
        <v>4000</v>
      </c>
      <c r="W32" s="9">
        <v>1500</v>
      </c>
      <c r="X32" s="9">
        <v>4000</v>
      </c>
      <c r="Y32" s="9">
        <v>1500</v>
      </c>
      <c r="Z32" s="9"/>
      <c r="AA32" s="11"/>
      <c r="AB32" s="68">
        <v>1500</v>
      </c>
      <c r="AC32" s="10"/>
      <c r="AD32" s="10"/>
      <c r="AE32" s="68">
        <v>8000</v>
      </c>
      <c r="AF32" s="68">
        <v>4500</v>
      </c>
      <c r="AG32" s="10"/>
      <c r="AH32" s="21"/>
      <c r="AI32" s="20" t="s">
        <v>50</v>
      </c>
      <c r="AJ32" s="10">
        <v>300000</v>
      </c>
      <c r="AK32" s="11"/>
      <c r="AL32" s="24"/>
      <c r="AM32" s="24"/>
      <c r="AO32" s="9">
        <v>8000</v>
      </c>
      <c r="AP32" s="9">
        <v>4500</v>
      </c>
      <c r="AQ32" s="9">
        <v>23500</v>
      </c>
      <c r="AR32" s="9">
        <v>6000</v>
      </c>
      <c r="AS32" s="9">
        <v>8500</v>
      </c>
      <c r="AT32" s="9">
        <v>1000</v>
      </c>
      <c r="AU32" s="9"/>
      <c r="AV32" s="11"/>
      <c r="AW32" s="68">
        <v>22000</v>
      </c>
      <c r="AX32" s="68">
        <v>2000</v>
      </c>
      <c r="AY32" s="68">
        <v>5000</v>
      </c>
      <c r="AZ32" s="10"/>
      <c r="BA32" s="68">
        <v>9000</v>
      </c>
      <c r="BB32" s="68">
        <v>51600</v>
      </c>
      <c r="BC32" s="10"/>
      <c r="BD32" s="21"/>
      <c r="BE32" s="20"/>
      <c r="BF32" s="10"/>
      <c r="BG32" s="11"/>
      <c r="BH32" s="24"/>
      <c r="BI32" s="24"/>
      <c r="BK32" s="9">
        <v>3600</v>
      </c>
      <c r="BL32" s="9">
        <v>19000</v>
      </c>
      <c r="BM32" s="9">
        <v>1000</v>
      </c>
      <c r="BN32" s="9">
        <v>5000</v>
      </c>
      <c r="BO32" s="9">
        <v>2000</v>
      </c>
      <c r="BP32" s="9">
        <v>12000</v>
      </c>
      <c r="BQ32" s="9">
        <v>6900</v>
      </c>
      <c r="BR32" s="11"/>
      <c r="BS32" s="68">
        <v>7690</v>
      </c>
      <c r="BT32" s="68">
        <v>16000</v>
      </c>
      <c r="BU32" s="10"/>
      <c r="BV32" s="68">
        <v>14000</v>
      </c>
      <c r="BW32" s="68">
        <v>7000</v>
      </c>
      <c r="BX32" s="10"/>
      <c r="BY32" s="21"/>
      <c r="BZ32" s="20"/>
      <c r="CA32" s="10"/>
      <c r="CB32" s="11"/>
      <c r="CC32" s="24"/>
      <c r="CD32" s="24"/>
      <c r="CE32" s="24"/>
      <c r="CF32" s="9">
        <v>18000</v>
      </c>
      <c r="CG32" s="9">
        <v>1000</v>
      </c>
      <c r="CH32" s="9">
        <v>7250</v>
      </c>
      <c r="CI32" s="9">
        <v>2300</v>
      </c>
      <c r="CJ32" s="9">
        <v>13000</v>
      </c>
      <c r="CK32" s="9">
        <v>2400</v>
      </c>
      <c r="CL32" s="9"/>
      <c r="CM32" s="11"/>
      <c r="CN32" s="68">
        <v>6000</v>
      </c>
      <c r="CO32" s="68">
        <v>15000</v>
      </c>
      <c r="CP32" s="10"/>
      <c r="CQ32" s="68">
        <v>1000</v>
      </c>
      <c r="CR32" s="68">
        <v>45900</v>
      </c>
      <c r="CS32" s="68">
        <v>2000</v>
      </c>
      <c r="CT32" s="21"/>
      <c r="CU32" s="20" t="s">
        <v>53</v>
      </c>
      <c r="CV32" s="10">
        <v>300000</v>
      </c>
      <c r="CW32" s="11"/>
      <c r="CX32" s="24"/>
      <c r="CY32" s="24"/>
    </row>
    <row r="33" spans="1:103">
      <c r="A33" s="9">
        <v>5000</v>
      </c>
      <c r="B33" s="9"/>
      <c r="C33" s="9"/>
      <c r="D33" s="9"/>
      <c r="E33" s="9"/>
      <c r="F33" s="9"/>
      <c r="G33" s="9"/>
      <c r="H33" s="11"/>
      <c r="I33" s="10">
        <v>1500</v>
      </c>
      <c r="J33" s="10"/>
      <c r="K33" s="10"/>
      <c r="L33" s="10"/>
      <c r="M33" s="21"/>
      <c r="N33" s="20"/>
      <c r="O33" s="10"/>
      <c r="P33" s="11"/>
      <c r="Q33" s="24"/>
      <c r="R33" s="24"/>
      <c r="S33" s="24"/>
      <c r="T33" s="9">
        <v>12000</v>
      </c>
      <c r="U33" s="9">
        <v>15000</v>
      </c>
      <c r="V33" s="9">
        <v>12000</v>
      </c>
      <c r="W33" s="9">
        <v>25000</v>
      </c>
      <c r="X33" s="9">
        <v>2000</v>
      </c>
      <c r="Y33" s="9">
        <v>10000</v>
      </c>
      <c r="Z33" s="9"/>
      <c r="AA33" s="11"/>
      <c r="AB33" s="68">
        <v>3500</v>
      </c>
      <c r="AC33" s="10"/>
      <c r="AD33" s="10"/>
      <c r="AE33" s="68">
        <v>20500</v>
      </c>
      <c r="AF33" s="68">
        <v>3500</v>
      </c>
      <c r="AG33" s="10"/>
      <c r="AH33" s="21"/>
      <c r="AI33" s="20" t="s">
        <v>53</v>
      </c>
      <c r="AJ33" s="10">
        <v>300000</v>
      </c>
      <c r="AK33" s="11"/>
      <c r="AL33" s="24"/>
      <c r="AM33" s="24"/>
      <c r="AO33" s="9">
        <v>6500</v>
      </c>
      <c r="AP33" s="9">
        <v>15500</v>
      </c>
      <c r="AQ33" s="9">
        <v>3000</v>
      </c>
      <c r="AR33" s="9">
        <v>1000</v>
      </c>
      <c r="AS33" s="9">
        <v>2000</v>
      </c>
      <c r="AT33" s="9">
        <v>32500</v>
      </c>
      <c r="AU33" s="9"/>
      <c r="AV33" s="11"/>
      <c r="AW33" s="68">
        <v>4500</v>
      </c>
      <c r="AX33" s="68">
        <v>20170</v>
      </c>
      <c r="AY33" s="68">
        <v>6000</v>
      </c>
      <c r="AZ33" s="10"/>
      <c r="BA33" s="68">
        <v>13500</v>
      </c>
      <c r="BB33" s="68">
        <v>45000</v>
      </c>
      <c r="BC33" s="10"/>
      <c r="BD33" s="21"/>
      <c r="BE33" s="20"/>
      <c r="BF33" s="10"/>
      <c r="BG33" s="11"/>
      <c r="BH33" s="24"/>
      <c r="BI33" s="24"/>
      <c r="BK33" s="9">
        <v>47000</v>
      </c>
      <c r="BL33" s="9">
        <v>5500</v>
      </c>
      <c r="BM33" s="9">
        <v>2000</v>
      </c>
      <c r="BN33" s="9">
        <v>10000</v>
      </c>
      <c r="BO33" s="9">
        <v>1800</v>
      </c>
      <c r="BP33" s="9">
        <v>500</v>
      </c>
      <c r="BQ33" s="9">
        <v>6500</v>
      </c>
      <c r="BR33" s="11"/>
      <c r="BS33" s="68">
        <v>44190</v>
      </c>
      <c r="BT33" s="68">
        <v>6720</v>
      </c>
      <c r="BU33" s="10"/>
      <c r="BV33" s="68">
        <v>4500</v>
      </c>
      <c r="BW33" s="68">
        <v>5000</v>
      </c>
      <c r="BX33" s="10"/>
      <c r="BY33" s="21"/>
      <c r="BZ33" s="20"/>
      <c r="CA33" s="10"/>
      <c r="CB33" s="11"/>
      <c r="CC33" s="24"/>
      <c r="CD33" s="24"/>
      <c r="CE33" s="24"/>
      <c r="CF33" s="9">
        <v>2000</v>
      </c>
      <c r="CG33" s="9">
        <v>9800</v>
      </c>
      <c r="CH33" s="9">
        <v>1500</v>
      </c>
      <c r="CI33" s="9">
        <v>1800</v>
      </c>
      <c r="CJ33" s="9">
        <v>1000</v>
      </c>
      <c r="CK33" s="9">
        <v>1700</v>
      </c>
      <c r="CL33" s="9"/>
      <c r="CM33" s="11"/>
      <c r="CN33" s="68">
        <v>1000</v>
      </c>
      <c r="CO33" s="68">
        <v>12010</v>
      </c>
      <c r="CP33" s="10"/>
      <c r="CQ33" s="68">
        <v>27500</v>
      </c>
      <c r="CR33" s="68">
        <v>12000</v>
      </c>
      <c r="CS33" s="10"/>
      <c r="CT33" s="21"/>
      <c r="CU33" s="20" t="s">
        <v>50</v>
      </c>
      <c r="CV33" s="10">
        <v>300000</v>
      </c>
      <c r="CW33" s="11"/>
      <c r="CX33" s="24"/>
      <c r="CY33" s="24"/>
    </row>
    <row r="34" spans="1:103">
      <c r="A34" s="9">
        <v>11000</v>
      </c>
      <c r="B34" s="9"/>
      <c r="C34" s="9"/>
      <c r="D34" s="9"/>
      <c r="E34" s="9"/>
      <c r="F34" s="9"/>
      <c r="G34" s="9"/>
      <c r="H34" s="11"/>
      <c r="I34" s="10">
        <v>56800</v>
      </c>
      <c r="J34" s="10"/>
      <c r="K34" s="10"/>
      <c r="L34" s="10"/>
      <c r="M34" s="21"/>
      <c r="N34" s="20"/>
      <c r="O34" s="10"/>
      <c r="P34" s="11"/>
      <c r="Q34" s="24"/>
      <c r="R34" s="34"/>
      <c r="S34" s="24"/>
      <c r="T34" s="9">
        <v>3500</v>
      </c>
      <c r="U34" s="9">
        <v>1500</v>
      </c>
      <c r="V34" s="9">
        <v>18500</v>
      </c>
      <c r="W34" s="9">
        <v>7000</v>
      </c>
      <c r="X34" s="9">
        <v>1000</v>
      </c>
      <c r="Y34" s="9">
        <v>1000</v>
      </c>
      <c r="Z34" s="9"/>
      <c r="AA34" s="11"/>
      <c r="AB34" s="68">
        <v>4000</v>
      </c>
      <c r="AC34" s="10"/>
      <c r="AD34" s="10"/>
      <c r="AE34" s="68">
        <v>10000</v>
      </c>
      <c r="AF34" s="68">
        <v>4500</v>
      </c>
      <c r="AG34" s="10"/>
      <c r="AH34" s="21"/>
      <c r="AI34" s="20"/>
      <c r="AJ34" s="10"/>
      <c r="AK34" s="11"/>
      <c r="AL34" s="24"/>
      <c r="AM34" s="34"/>
      <c r="AO34" s="9">
        <v>6000</v>
      </c>
      <c r="AP34" s="9">
        <v>6500</v>
      </c>
      <c r="AQ34" s="9">
        <v>4500</v>
      </c>
      <c r="AR34" s="9">
        <v>10000</v>
      </c>
      <c r="AS34" s="9">
        <v>2500</v>
      </c>
      <c r="AT34" s="9">
        <v>1500</v>
      </c>
      <c r="AU34" s="9"/>
      <c r="AV34" s="11"/>
      <c r="AW34" s="68">
        <v>9000</v>
      </c>
      <c r="AX34" s="68">
        <v>1000</v>
      </c>
      <c r="AY34" s="68">
        <v>1500</v>
      </c>
      <c r="AZ34" s="10"/>
      <c r="BA34" s="68">
        <v>5000</v>
      </c>
      <c r="BB34" s="68">
        <v>2000</v>
      </c>
      <c r="BC34" s="10"/>
      <c r="BD34" s="21"/>
      <c r="BE34" s="20"/>
      <c r="BF34" s="10"/>
      <c r="BG34" s="11"/>
      <c r="BH34" s="24"/>
      <c r="BI34" s="34"/>
      <c r="BK34" s="9">
        <v>3000</v>
      </c>
      <c r="BL34" s="9">
        <v>15000</v>
      </c>
      <c r="BM34" s="9">
        <v>500</v>
      </c>
      <c r="BN34" s="9">
        <v>4500</v>
      </c>
      <c r="BO34" s="9">
        <v>1000</v>
      </c>
      <c r="BP34" s="9">
        <v>4500</v>
      </c>
      <c r="BQ34" s="9">
        <v>3500</v>
      </c>
      <c r="BR34" s="11"/>
      <c r="BS34" s="68">
        <v>6000</v>
      </c>
      <c r="BT34" s="68">
        <v>4800</v>
      </c>
      <c r="BU34" s="10"/>
      <c r="BV34" s="68">
        <v>15000</v>
      </c>
      <c r="BW34" s="68">
        <v>5000</v>
      </c>
      <c r="BX34" s="10"/>
      <c r="BY34" s="21"/>
      <c r="BZ34" s="20"/>
      <c r="CA34" s="10"/>
      <c r="CB34" s="11"/>
      <c r="CC34" s="24"/>
      <c r="CD34" s="34"/>
      <c r="CE34" s="24"/>
      <c r="CF34" s="9">
        <v>4500</v>
      </c>
      <c r="CG34" s="9">
        <v>11000</v>
      </c>
      <c r="CH34" s="9">
        <v>4000</v>
      </c>
      <c r="CI34" s="9">
        <v>39500</v>
      </c>
      <c r="CJ34" s="9">
        <v>2500</v>
      </c>
      <c r="CK34" s="9">
        <v>3000</v>
      </c>
      <c r="CL34" s="9"/>
      <c r="CM34" s="11"/>
      <c r="CN34" s="68">
        <v>4000</v>
      </c>
      <c r="CO34" s="68">
        <v>6250</v>
      </c>
      <c r="CP34" s="10"/>
      <c r="CQ34" s="68">
        <v>4000</v>
      </c>
      <c r="CR34" s="68">
        <v>19300</v>
      </c>
      <c r="CS34" s="10"/>
      <c r="CT34" s="21"/>
      <c r="CU34" s="20"/>
      <c r="CV34" s="10"/>
      <c r="CW34" s="11"/>
      <c r="CX34" s="24"/>
      <c r="CY34" s="34"/>
    </row>
    <row r="35" spans="1:103">
      <c r="A35" s="9">
        <v>7500</v>
      </c>
      <c r="B35" s="9"/>
      <c r="C35" s="9"/>
      <c r="D35" s="9"/>
      <c r="E35" s="9"/>
      <c r="F35" s="9"/>
      <c r="G35" s="9"/>
      <c r="H35" s="11"/>
      <c r="I35" s="10">
        <v>6000</v>
      </c>
      <c r="J35" s="10"/>
      <c r="K35" s="10"/>
      <c r="L35" s="10"/>
      <c r="M35" s="21"/>
      <c r="N35" s="20"/>
      <c r="O35" s="10"/>
      <c r="P35" s="11"/>
      <c r="Q35" s="24"/>
      <c r="R35" s="24"/>
      <c r="S35" s="24"/>
      <c r="T35" s="9">
        <v>430</v>
      </c>
      <c r="U35" s="9">
        <v>2240</v>
      </c>
      <c r="V35" s="9">
        <v>6500</v>
      </c>
      <c r="W35" s="9">
        <v>40000</v>
      </c>
      <c r="X35" s="9">
        <v>15000</v>
      </c>
      <c r="Y35" s="9">
        <v>5000</v>
      </c>
      <c r="Z35" s="9"/>
      <c r="AA35" s="11"/>
      <c r="AB35" s="68">
        <v>7000</v>
      </c>
      <c r="AC35" s="10"/>
      <c r="AD35" s="10"/>
      <c r="AE35" s="68">
        <v>500</v>
      </c>
      <c r="AF35" s="68">
        <v>2900</v>
      </c>
      <c r="AG35" s="10"/>
      <c r="AH35" s="21"/>
      <c r="AI35" s="20"/>
      <c r="AJ35" s="10"/>
      <c r="AK35" s="11"/>
      <c r="AL35" s="24"/>
      <c r="AM35" s="24"/>
      <c r="AO35" s="9">
        <v>30000</v>
      </c>
      <c r="AP35" s="9">
        <v>4500</v>
      </c>
      <c r="AQ35" s="9">
        <v>20500</v>
      </c>
      <c r="AR35" s="9">
        <v>17000</v>
      </c>
      <c r="AS35" s="9">
        <v>8000</v>
      </c>
      <c r="AT35" s="9">
        <v>3500</v>
      </c>
      <c r="AU35" s="9"/>
      <c r="AV35" s="11"/>
      <c r="AW35" s="68">
        <v>8640</v>
      </c>
      <c r="AX35" s="68">
        <v>6240</v>
      </c>
      <c r="AY35" s="68">
        <v>4800</v>
      </c>
      <c r="AZ35" s="10"/>
      <c r="BA35" s="68">
        <v>28000</v>
      </c>
      <c r="BB35" s="68">
        <v>7500</v>
      </c>
      <c r="BC35" s="10"/>
      <c r="BD35" s="21"/>
      <c r="BE35" s="20"/>
      <c r="BF35" s="10"/>
      <c r="BG35" s="11"/>
      <c r="BH35" s="24"/>
      <c r="BI35" s="24"/>
      <c r="BK35" s="9">
        <v>2000</v>
      </c>
      <c r="BL35" s="9">
        <v>16000</v>
      </c>
      <c r="BM35" s="9">
        <v>25000</v>
      </c>
      <c r="BN35" s="9">
        <v>1000</v>
      </c>
      <c r="BO35" s="9">
        <v>300</v>
      </c>
      <c r="BP35" s="9">
        <v>1000</v>
      </c>
      <c r="BQ35" s="9">
        <v>2500</v>
      </c>
      <c r="BR35" s="11"/>
      <c r="BS35" s="68">
        <v>3840</v>
      </c>
      <c r="BT35" s="68">
        <v>21790</v>
      </c>
      <c r="BU35" s="10"/>
      <c r="BV35" s="68">
        <v>13000</v>
      </c>
      <c r="BW35" s="68">
        <v>15300</v>
      </c>
      <c r="BX35" s="10"/>
      <c r="BY35" s="21"/>
      <c r="BZ35" s="20"/>
      <c r="CA35" s="10"/>
      <c r="CB35" s="11"/>
      <c r="CC35" s="24"/>
      <c r="CD35" s="24"/>
      <c r="CE35" s="24"/>
      <c r="CF35" s="9">
        <v>4500</v>
      </c>
      <c r="CG35" s="9">
        <v>28000</v>
      </c>
      <c r="CH35" s="9">
        <v>29000</v>
      </c>
      <c r="CI35" s="9">
        <v>2000</v>
      </c>
      <c r="CJ35" s="9">
        <v>17000</v>
      </c>
      <c r="CK35" s="9">
        <v>7500</v>
      </c>
      <c r="CL35" s="9"/>
      <c r="CM35" s="11"/>
      <c r="CN35" s="68">
        <v>700</v>
      </c>
      <c r="CO35" s="68">
        <v>7690</v>
      </c>
      <c r="CP35" s="10"/>
      <c r="CQ35" s="68">
        <v>30000</v>
      </c>
      <c r="CR35" s="68">
        <v>600</v>
      </c>
      <c r="CS35" s="10"/>
      <c r="CT35" s="21"/>
      <c r="CU35" s="20"/>
      <c r="CV35" s="10"/>
      <c r="CW35" s="11"/>
      <c r="CX35" s="24"/>
      <c r="CY35" s="24"/>
    </row>
    <row r="36" spans="12:75">
      <c r="L36" s="4"/>
      <c r="BA36" s="35"/>
      <c r="BB36" s="36"/>
      <c r="BC36" s="35"/>
      <c r="BD36" s="35"/>
      <c r="BE36" s="35"/>
      <c r="BV36" s="4"/>
      <c r="BW36" s="4"/>
    </row>
  </sheetData>
  <mergeCells count="61">
    <mergeCell ref="I1:L1"/>
    <mergeCell ref="N1:O1"/>
    <mergeCell ref="AB1:AG1"/>
    <mergeCell ref="AI1:AJ1"/>
    <mergeCell ref="AW1:BC1"/>
    <mergeCell ref="BE1:BF1"/>
    <mergeCell ref="BS1:BX1"/>
    <mergeCell ref="BZ1:CA1"/>
    <mergeCell ref="CN1:CS1"/>
    <mergeCell ref="CU1:CV1"/>
    <mergeCell ref="Q1:Q2"/>
    <mergeCell ref="Q3:Q4"/>
    <mergeCell ref="Q5:Q6"/>
    <mergeCell ref="Q7:Q8"/>
    <mergeCell ref="R1:R2"/>
    <mergeCell ref="R3:R4"/>
    <mergeCell ref="R5:R6"/>
    <mergeCell ref="R7:R8"/>
    <mergeCell ref="AL1:AL2"/>
    <mergeCell ref="AL3:AL4"/>
    <mergeCell ref="AL5:AL6"/>
    <mergeCell ref="AL7:AL8"/>
    <mergeCell ref="AM1:AM2"/>
    <mergeCell ref="AM3:AM4"/>
    <mergeCell ref="AM5:AM6"/>
    <mergeCell ref="AM7:AM8"/>
    <mergeCell ref="BH1:BH2"/>
    <mergeCell ref="BH3:BH4"/>
    <mergeCell ref="BH5:BH6"/>
    <mergeCell ref="BH7:BH8"/>
    <mergeCell ref="BI1:BI2"/>
    <mergeCell ref="BI3:BI4"/>
    <mergeCell ref="BI5:BI6"/>
    <mergeCell ref="BI7:BI8"/>
    <mergeCell ref="CC1:CC2"/>
    <mergeCell ref="CC3:CC4"/>
    <mergeCell ref="CC5:CC6"/>
    <mergeCell ref="CC7:CC8"/>
    <mergeCell ref="CD1:CD2"/>
    <mergeCell ref="CD3:CD4"/>
    <mergeCell ref="CD5:CD6"/>
    <mergeCell ref="CD7:CD8"/>
    <mergeCell ref="CX1:CX2"/>
    <mergeCell ref="CX3:CX4"/>
    <mergeCell ref="CX5:CX6"/>
    <mergeCell ref="CX7:CX8"/>
    <mergeCell ref="CY1:CY2"/>
    <mergeCell ref="CY3:CY4"/>
    <mergeCell ref="CY5:CY6"/>
    <mergeCell ref="CY7:CY8"/>
    <mergeCell ref="DA1:DD2"/>
    <mergeCell ref="DA3:DB4"/>
    <mergeCell ref="DC3:DD4"/>
    <mergeCell ref="DA5:DB6"/>
    <mergeCell ref="DC5:DD6"/>
    <mergeCell ref="DA11:DB12"/>
    <mergeCell ref="DC11:DD12"/>
    <mergeCell ref="DA7:DB8"/>
    <mergeCell ref="DC7:DD8"/>
    <mergeCell ref="DA9:DB10"/>
    <mergeCell ref="DC9:DD10"/>
  </mergeCells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H36"/>
  <sheetViews>
    <sheetView zoomScale="85" zoomScaleNormal="85" topLeftCell="CL1" workbookViewId="0">
      <selection activeCell="CD19" sqref="CD19"/>
    </sheetView>
  </sheetViews>
  <sheetFormatPr defaultColWidth="11" defaultRowHeight="14.4"/>
  <cols>
    <col min="1" max="7" width="11.712962962963" customWidth="1"/>
    <col min="8" max="8" width="1.71296296296296" customWidth="1"/>
    <col min="9" max="14" width="11.712962962963" customWidth="1"/>
    <col min="15" max="15" width="1.71296296296296" customWidth="1"/>
    <col min="16" max="16" width="11.712962962963" customWidth="1"/>
    <col min="17" max="17" width="13.712962962963" customWidth="1"/>
    <col min="18" max="18" width="1.71296296296296" customWidth="1"/>
    <col min="19" max="19" width="11.712962962963" customWidth="1"/>
    <col min="20" max="20" width="13.4259259259259" style="67" customWidth="1"/>
    <col min="22" max="22" width="12.4259259259259" customWidth="1"/>
    <col min="23" max="23" width="11.1388888888889" customWidth="1"/>
    <col min="24" max="25" width="11" customWidth="1"/>
    <col min="26" max="26" width="13" customWidth="1"/>
    <col min="27" max="27" width="13.1388888888889" customWidth="1"/>
    <col min="28" max="28" width="12.8518518518519" customWidth="1"/>
    <col min="29" max="29" width="1.71296296296296" customWidth="1"/>
    <col min="30" max="30" width="10.8518518518519" customWidth="1"/>
    <col min="31" max="34" width="12" customWidth="1"/>
    <col min="35" max="35" width="13.712962962963" customWidth="1"/>
    <col min="36" max="36" width="12.1388888888889" customWidth="1"/>
    <col min="37" max="37" width="1.71296296296296" customWidth="1"/>
    <col min="38" max="39" width="12" customWidth="1"/>
    <col min="40" max="40" width="1.71296296296296" customWidth="1"/>
    <col min="41" max="41" width="15.1388888888889" customWidth="1"/>
    <col min="42" max="42" width="13.4259259259259" style="67" customWidth="1"/>
    <col min="44" max="51" width="11.712962962963" customWidth="1"/>
    <col min="52" max="52" width="1.71296296296296" customWidth="1"/>
    <col min="53" max="55" width="11.712962962963" customWidth="1"/>
    <col min="56" max="56" width="12.5740740740741" customWidth="1"/>
    <col min="57" max="59" width="11.712962962963" customWidth="1"/>
    <col min="60" max="60" width="1.71296296296296" customWidth="1"/>
    <col min="61" max="62" width="11.712962962963" customWidth="1"/>
    <col min="63" max="63" width="1.71296296296296" customWidth="1"/>
    <col min="64" max="64" width="11.712962962963" customWidth="1"/>
    <col min="65" max="65" width="13.8518518518519" style="67" customWidth="1"/>
    <col min="67" max="73" width="11.712962962963" customWidth="1"/>
    <col min="74" max="74" width="1.71296296296296" customWidth="1"/>
    <col min="75" max="80" width="11.712962962963" customWidth="1"/>
    <col min="81" max="81" width="1.71296296296296" customWidth="1"/>
    <col min="82" max="83" width="11.712962962963" customWidth="1"/>
    <col min="84" max="84" width="1.71296296296296" customWidth="1"/>
    <col min="85" max="85" width="11.712962962963" customWidth="1"/>
    <col min="86" max="86" width="13.1388888888889" style="67" customWidth="1"/>
    <col min="88" max="94" width="11.712962962963" customWidth="1"/>
    <col min="95" max="95" width="1.71296296296296" customWidth="1"/>
    <col min="96" max="101" width="11.712962962963" customWidth="1"/>
    <col min="102" max="102" width="1.71296296296296" customWidth="1"/>
    <col min="103" max="104" width="11.712962962963" customWidth="1"/>
    <col min="105" max="105" width="1.71296296296296" customWidth="1"/>
    <col min="106" max="106" width="11.712962962963" customWidth="1"/>
    <col min="107" max="107" width="13.1388888888889" style="67" customWidth="1"/>
    <col min="108" max="108" width="9.42592592592593" customWidth="1"/>
    <col min="109" max="109" width="8.28703703703704" customWidth="1"/>
    <col min="110" max="110" width="7.13888888888889" customWidth="1"/>
    <col min="111" max="111" width="6.85185185185185" customWidth="1"/>
    <col min="112" max="112" width="17.5740740740741" customWidth="1"/>
  </cols>
  <sheetData>
    <row r="1" ht="15" customHeight="1" spans="1:112">
      <c r="A1" s="10">
        <v>5500</v>
      </c>
      <c r="B1" s="10">
        <v>4000</v>
      </c>
      <c r="C1" s="10">
        <v>7000</v>
      </c>
      <c r="D1" s="10">
        <v>1500</v>
      </c>
      <c r="E1" s="10">
        <v>2800</v>
      </c>
      <c r="F1" s="10">
        <v>900</v>
      </c>
      <c r="G1" s="10">
        <v>196550</v>
      </c>
      <c r="H1" s="11"/>
      <c r="I1" s="13" t="s">
        <v>0</v>
      </c>
      <c r="J1" s="14"/>
      <c r="K1" s="14"/>
      <c r="L1" s="14"/>
      <c r="M1" s="14"/>
      <c r="N1" s="15"/>
      <c r="O1" s="11"/>
      <c r="P1" s="16" t="s">
        <v>1</v>
      </c>
      <c r="Q1" s="17"/>
      <c r="R1" s="11"/>
      <c r="S1" s="22" t="s">
        <v>2</v>
      </c>
      <c r="T1" s="69"/>
      <c r="U1" s="24"/>
      <c r="V1" s="10">
        <v>3500</v>
      </c>
      <c r="W1" s="10">
        <v>1500</v>
      </c>
      <c r="X1" s="10">
        <v>4500</v>
      </c>
      <c r="Y1" s="10">
        <v>2000</v>
      </c>
      <c r="Z1" s="10">
        <v>1500</v>
      </c>
      <c r="AA1" s="10">
        <v>1000</v>
      </c>
      <c r="AB1" s="10">
        <v>3500</v>
      </c>
      <c r="AC1" s="11"/>
      <c r="AD1" s="13" t="s">
        <v>0</v>
      </c>
      <c r="AE1" s="14"/>
      <c r="AF1" s="14"/>
      <c r="AG1" s="14"/>
      <c r="AH1" s="14"/>
      <c r="AI1" s="14"/>
      <c r="AJ1" s="15"/>
      <c r="AK1" s="11"/>
      <c r="AL1" s="16" t="s">
        <v>1</v>
      </c>
      <c r="AM1" s="17"/>
      <c r="AN1" s="11"/>
      <c r="AO1" s="22" t="s">
        <v>2</v>
      </c>
      <c r="AP1" s="69"/>
      <c r="AR1" s="10">
        <v>1500</v>
      </c>
      <c r="AS1" s="72">
        <v>12000</v>
      </c>
      <c r="AT1" s="10">
        <v>65000</v>
      </c>
      <c r="AU1" s="10">
        <v>3500</v>
      </c>
      <c r="AV1" s="10">
        <v>27500</v>
      </c>
      <c r="AW1" s="10">
        <v>14000</v>
      </c>
      <c r="AX1" s="10">
        <v>7000</v>
      </c>
      <c r="AY1" s="10">
        <v>14000</v>
      </c>
      <c r="AZ1" s="11"/>
      <c r="BA1" s="13" t="s">
        <v>0</v>
      </c>
      <c r="BB1" s="14"/>
      <c r="BC1" s="14"/>
      <c r="BD1" s="14"/>
      <c r="BE1" s="14"/>
      <c r="BF1" s="14"/>
      <c r="BG1" s="15"/>
      <c r="BH1" s="11"/>
      <c r="BI1" s="16" t="s">
        <v>1</v>
      </c>
      <c r="BJ1" s="17"/>
      <c r="BK1" s="11"/>
      <c r="BL1" s="22" t="s">
        <v>2</v>
      </c>
      <c r="BM1" s="69"/>
      <c r="BO1" s="10">
        <v>10000</v>
      </c>
      <c r="BP1" s="10">
        <v>3500</v>
      </c>
      <c r="BQ1" s="10">
        <v>5500</v>
      </c>
      <c r="BR1" s="10">
        <v>3500</v>
      </c>
      <c r="BS1" s="10">
        <v>2500</v>
      </c>
      <c r="BT1" s="10">
        <v>21500</v>
      </c>
      <c r="BU1" s="10">
        <v>333300</v>
      </c>
      <c r="BV1" s="11"/>
      <c r="BW1" s="13" t="s">
        <v>0</v>
      </c>
      <c r="BX1" s="14"/>
      <c r="BY1" s="14"/>
      <c r="BZ1" s="14"/>
      <c r="CA1" s="14"/>
      <c r="CB1" s="15"/>
      <c r="CC1" s="11"/>
      <c r="CD1" s="16" t="s">
        <v>1</v>
      </c>
      <c r="CE1" s="17"/>
      <c r="CF1" s="11"/>
      <c r="CG1" s="22" t="s">
        <v>2</v>
      </c>
      <c r="CH1" s="69"/>
      <c r="CJ1" s="10">
        <v>6000</v>
      </c>
      <c r="CK1" s="10">
        <v>1000</v>
      </c>
      <c r="CL1" s="10"/>
      <c r="CM1" s="10"/>
      <c r="CN1" s="10"/>
      <c r="CO1" s="10"/>
      <c r="CP1" s="10"/>
      <c r="CQ1" s="11"/>
      <c r="CR1" s="13" t="s">
        <v>0</v>
      </c>
      <c r="CS1" s="14"/>
      <c r="CT1" s="14"/>
      <c r="CU1" s="14"/>
      <c r="CV1" s="14"/>
      <c r="CW1" s="15"/>
      <c r="CX1" s="11"/>
      <c r="CY1" s="16" t="s">
        <v>1</v>
      </c>
      <c r="CZ1" s="17"/>
      <c r="DA1" s="11"/>
      <c r="DB1" s="22" t="s">
        <v>2</v>
      </c>
      <c r="DC1" s="69"/>
      <c r="DE1" s="37" t="s">
        <v>3</v>
      </c>
      <c r="DF1" s="45"/>
      <c r="DG1" s="45"/>
      <c r="DH1" s="46"/>
    </row>
    <row r="2" ht="15" customHeight="1" spans="1:112">
      <c r="A2" s="12">
        <v>4500</v>
      </c>
      <c r="B2" s="12">
        <v>2000</v>
      </c>
      <c r="C2" s="12">
        <v>300</v>
      </c>
      <c r="D2" s="12">
        <v>2000</v>
      </c>
      <c r="E2" s="12">
        <v>4000</v>
      </c>
      <c r="F2" s="12">
        <v>2000</v>
      </c>
      <c r="G2" s="12">
        <v>8500</v>
      </c>
      <c r="H2" s="11"/>
      <c r="I2" s="68">
        <v>5490</v>
      </c>
      <c r="J2" s="68">
        <v>1000</v>
      </c>
      <c r="K2" s="68">
        <v>8650</v>
      </c>
      <c r="L2" s="68">
        <v>33200</v>
      </c>
      <c r="M2" s="68">
        <v>5000</v>
      </c>
      <c r="N2" s="68">
        <v>758250</v>
      </c>
      <c r="O2" s="11"/>
      <c r="P2" s="20" t="s">
        <v>136</v>
      </c>
      <c r="Q2" s="10">
        <v>270000</v>
      </c>
      <c r="R2" s="11"/>
      <c r="S2" s="25"/>
      <c r="T2" s="70"/>
      <c r="U2" s="24"/>
      <c r="V2" s="12">
        <v>14200</v>
      </c>
      <c r="W2" s="12">
        <v>2500</v>
      </c>
      <c r="X2" s="12">
        <v>7600</v>
      </c>
      <c r="Y2" s="12">
        <v>800</v>
      </c>
      <c r="Z2" s="12">
        <v>4500</v>
      </c>
      <c r="AA2" s="12">
        <v>4500</v>
      </c>
      <c r="AB2" s="12">
        <v>5000</v>
      </c>
      <c r="AC2" s="11"/>
      <c r="AD2" s="68">
        <v>11000</v>
      </c>
      <c r="AE2" s="68">
        <v>3500</v>
      </c>
      <c r="AF2" s="68">
        <v>15000</v>
      </c>
      <c r="AG2" s="68">
        <v>2500</v>
      </c>
      <c r="AH2" s="68">
        <v>9500</v>
      </c>
      <c r="AI2" s="68">
        <v>6600</v>
      </c>
      <c r="AJ2" s="68">
        <v>301450</v>
      </c>
      <c r="AK2" s="11"/>
      <c r="AL2" s="20" t="s">
        <v>41</v>
      </c>
      <c r="AM2" s="10">
        <v>448600</v>
      </c>
      <c r="AN2" s="11"/>
      <c r="AO2" s="25"/>
      <c r="AP2" s="70"/>
      <c r="AR2" s="12">
        <v>1800</v>
      </c>
      <c r="AS2" s="12">
        <v>3000</v>
      </c>
      <c r="AT2" s="12">
        <v>7600</v>
      </c>
      <c r="AU2" s="12">
        <v>9000</v>
      </c>
      <c r="AV2" s="12">
        <v>61000</v>
      </c>
      <c r="AW2" s="12">
        <v>2500</v>
      </c>
      <c r="AX2" s="12">
        <v>13500</v>
      </c>
      <c r="AY2" s="12">
        <v>50000</v>
      </c>
      <c r="AZ2" s="11"/>
      <c r="BA2" s="68">
        <v>13270</v>
      </c>
      <c r="BB2" s="68">
        <v>25000</v>
      </c>
      <c r="BC2" s="68">
        <v>12000</v>
      </c>
      <c r="BD2" s="68">
        <v>43000</v>
      </c>
      <c r="BE2" s="68">
        <v>14000</v>
      </c>
      <c r="BF2" s="68">
        <v>2500</v>
      </c>
      <c r="BG2" s="68">
        <v>24000</v>
      </c>
      <c r="BH2" s="11"/>
      <c r="BI2" s="20" t="s">
        <v>7</v>
      </c>
      <c r="BJ2" s="10">
        <v>97600</v>
      </c>
      <c r="BK2" s="11"/>
      <c r="BL2" s="25"/>
      <c r="BM2" s="70"/>
      <c r="BO2" s="12">
        <v>11000</v>
      </c>
      <c r="BP2" s="12">
        <v>7000</v>
      </c>
      <c r="BQ2" s="12">
        <v>4500</v>
      </c>
      <c r="BR2" s="12">
        <v>31500</v>
      </c>
      <c r="BS2" s="12">
        <v>19000</v>
      </c>
      <c r="BT2" s="12">
        <v>91000</v>
      </c>
      <c r="BU2" s="12">
        <v>5500</v>
      </c>
      <c r="BV2" s="11"/>
      <c r="BW2" s="68">
        <v>5000</v>
      </c>
      <c r="BX2" s="68">
        <v>7620</v>
      </c>
      <c r="BY2" s="68">
        <v>23920</v>
      </c>
      <c r="BZ2" s="10">
        <v>1500</v>
      </c>
      <c r="CA2" s="10">
        <v>10000</v>
      </c>
      <c r="CB2" s="10">
        <v>309000</v>
      </c>
      <c r="CC2" s="11"/>
      <c r="CD2" s="20" t="s">
        <v>5</v>
      </c>
      <c r="CE2" s="10">
        <v>305700</v>
      </c>
      <c r="CF2" s="11"/>
      <c r="CG2" s="25"/>
      <c r="CH2" s="70"/>
      <c r="CJ2" s="12">
        <v>10000</v>
      </c>
      <c r="CK2" s="12">
        <v>15000</v>
      </c>
      <c r="CL2" s="12"/>
      <c r="CM2" s="12"/>
      <c r="CN2" s="12"/>
      <c r="CO2" s="12"/>
      <c r="CP2" s="12"/>
      <c r="CQ2" s="11"/>
      <c r="CR2" s="68">
        <v>3230</v>
      </c>
      <c r="CS2" s="10"/>
      <c r="CT2" s="10"/>
      <c r="CU2" s="68">
        <v>28000</v>
      </c>
      <c r="CV2" s="10"/>
      <c r="CW2" s="10"/>
      <c r="CX2" s="11"/>
      <c r="CY2" s="20" t="s">
        <v>137</v>
      </c>
      <c r="CZ2" s="10">
        <v>33730</v>
      </c>
      <c r="DA2" s="11"/>
      <c r="DB2" s="25"/>
      <c r="DC2" s="70"/>
      <c r="DE2" s="38"/>
      <c r="DF2" s="47"/>
      <c r="DG2" s="47"/>
      <c r="DH2" s="48"/>
    </row>
    <row r="3" ht="15" customHeight="1" spans="1:112">
      <c r="A3" s="9">
        <v>2200</v>
      </c>
      <c r="B3" s="9">
        <v>4000</v>
      </c>
      <c r="C3" s="9">
        <v>8000</v>
      </c>
      <c r="D3" s="9">
        <v>10000</v>
      </c>
      <c r="E3" s="9">
        <v>3000</v>
      </c>
      <c r="F3" s="9">
        <v>7000</v>
      </c>
      <c r="G3" s="9">
        <v>7600</v>
      </c>
      <c r="H3" s="11"/>
      <c r="I3" s="68">
        <v>45150</v>
      </c>
      <c r="J3" s="68">
        <v>4460</v>
      </c>
      <c r="K3" s="68">
        <v>1000</v>
      </c>
      <c r="L3" s="68">
        <v>1400</v>
      </c>
      <c r="M3" s="68">
        <v>7000</v>
      </c>
      <c r="N3" s="68">
        <v>4800</v>
      </c>
      <c r="O3" s="19"/>
      <c r="P3" s="20" t="s">
        <v>138</v>
      </c>
      <c r="Q3" s="10">
        <v>23000</v>
      </c>
      <c r="R3" s="11">
        <v>1</v>
      </c>
      <c r="S3" s="27" t="s">
        <v>9</v>
      </c>
      <c r="T3" s="69">
        <f>SUM(A1:H35)</f>
        <v>1991500</v>
      </c>
      <c r="U3" s="24"/>
      <c r="V3" s="9">
        <v>3200</v>
      </c>
      <c r="W3" s="9">
        <v>6000</v>
      </c>
      <c r="X3" s="9">
        <v>45000</v>
      </c>
      <c r="Y3" s="9">
        <v>18200</v>
      </c>
      <c r="Z3" s="9">
        <v>15500</v>
      </c>
      <c r="AA3" s="9">
        <v>4000</v>
      </c>
      <c r="AB3" s="9">
        <v>3500</v>
      </c>
      <c r="AC3" s="11"/>
      <c r="AD3" s="68">
        <v>8500</v>
      </c>
      <c r="AE3" s="68">
        <v>6000</v>
      </c>
      <c r="AF3" s="68">
        <v>6500</v>
      </c>
      <c r="AG3" s="68">
        <v>2500</v>
      </c>
      <c r="AH3" s="68">
        <v>7300</v>
      </c>
      <c r="AI3" s="68">
        <v>3000</v>
      </c>
      <c r="AJ3" s="68">
        <v>300</v>
      </c>
      <c r="AK3" s="19"/>
      <c r="AL3" s="20" t="s">
        <v>139</v>
      </c>
      <c r="AM3" s="10">
        <v>40000</v>
      </c>
      <c r="AN3" s="11">
        <v>1</v>
      </c>
      <c r="AO3" s="27" t="s">
        <v>9</v>
      </c>
      <c r="AP3" s="69">
        <f>SUM(V1:AC35)</f>
        <v>2075350</v>
      </c>
      <c r="AR3" s="9">
        <v>2000</v>
      </c>
      <c r="AS3" s="9">
        <v>5000</v>
      </c>
      <c r="AT3" s="9">
        <v>24900</v>
      </c>
      <c r="AU3" s="9">
        <v>4500</v>
      </c>
      <c r="AV3" s="9">
        <v>9500</v>
      </c>
      <c r="AW3" s="9">
        <v>2500</v>
      </c>
      <c r="AX3" s="9">
        <v>2800</v>
      </c>
      <c r="AY3" s="9">
        <v>1500</v>
      </c>
      <c r="AZ3" s="11"/>
      <c r="BA3" s="68">
        <v>23050</v>
      </c>
      <c r="BB3" s="68">
        <v>5000</v>
      </c>
      <c r="BC3" s="68">
        <v>7680</v>
      </c>
      <c r="BD3" s="68">
        <v>4000</v>
      </c>
      <c r="BE3" s="68">
        <v>49600</v>
      </c>
      <c r="BF3" s="68">
        <v>23000</v>
      </c>
      <c r="BG3" s="68">
        <v>3000</v>
      </c>
      <c r="BH3" s="19"/>
      <c r="BI3" s="20" t="s">
        <v>22</v>
      </c>
      <c r="BJ3" s="10">
        <v>593600</v>
      </c>
      <c r="BK3" s="11">
        <v>1</v>
      </c>
      <c r="BL3" s="27" t="s">
        <v>9</v>
      </c>
      <c r="BM3" s="69">
        <f>SUM(AR1:AZ35)</f>
        <v>2604610</v>
      </c>
      <c r="BO3" s="9">
        <v>21000</v>
      </c>
      <c r="BP3" s="9">
        <v>5500</v>
      </c>
      <c r="BQ3" s="9">
        <v>1000</v>
      </c>
      <c r="BR3" s="9">
        <v>4500</v>
      </c>
      <c r="BS3" s="9">
        <v>7000</v>
      </c>
      <c r="BT3" s="9">
        <v>35000</v>
      </c>
      <c r="BU3" s="9">
        <v>3000</v>
      </c>
      <c r="BV3" s="11"/>
      <c r="BW3" s="68">
        <v>5280</v>
      </c>
      <c r="BX3" s="68">
        <v>25000</v>
      </c>
      <c r="BY3" s="68">
        <v>7690</v>
      </c>
      <c r="BZ3" s="10">
        <v>70000</v>
      </c>
      <c r="CA3" s="10">
        <v>32000</v>
      </c>
      <c r="CB3" s="10">
        <v>59100</v>
      </c>
      <c r="CC3" s="19"/>
      <c r="CD3" s="20" t="s">
        <v>15</v>
      </c>
      <c r="CE3" s="10">
        <v>82200</v>
      </c>
      <c r="CF3" s="11">
        <v>1</v>
      </c>
      <c r="CG3" s="27" t="s">
        <v>9</v>
      </c>
      <c r="CH3" s="69">
        <f>SUM(BO1:BV35)</f>
        <v>2730600</v>
      </c>
      <c r="CJ3" s="9">
        <v>1200</v>
      </c>
      <c r="CK3" s="9">
        <v>6000</v>
      </c>
      <c r="CL3" s="9"/>
      <c r="CM3" s="9"/>
      <c r="CN3" s="9"/>
      <c r="CO3" s="9"/>
      <c r="CP3" s="9"/>
      <c r="CQ3" s="11"/>
      <c r="CR3" s="68">
        <v>4040</v>
      </c>
      <c r="CS3" s="10"/>
      <c r="CT3" s="10"/>
      <c r="CU3" s="68">
        <v>32500</v>
      </c>
      <c r="CV3" s="10"/>
      <c r="CW3" s="10"/>
      <c r="CX3" s="19"/>
      <c r="CY3" s="20"/>
      <c r="CZ3" s="10"/>
      <c r="DA3" s="11">
        <v>1</v>
      </c>
      <c r="DB3" s="27" t="s">
        <v>9</v>
      </c>
      <c r="DC3" s="69">
        <f>SUM(CJ1:CQ35)</f>
        <v>328200</v>
      </c>
      <c r="DE3" s="39" t="s">
        <v>9</v>
      </c>
      <c r="DF3" s="49"/>
      <c r="DG3" s="50">
        <f>SUM(T3,AP3,BM3,CH3,DC3)</f>
        <v>9730260</v>
      </c>
      <c r="DH3" s="51"/>
    </row>
    <row r="4" ht="15" customHeight="1" spans="1:112">
      <c r="A4" s="9">
        <v>10300</v>
      </c>
      <c r="B4" s="9">
        <v>7500</v>
      </c>
      <c r="C4" s="9">
        <v>8600</v>
      </c>
      <c r="D4" s="9">
        <v>13500</v>
      </c>
      <c r="E4" s="9">
        <v>20000</v>
      </c>
      <c r="F4" s="9">
        <v>15400</v>
      </c>
      <c r="G4" s="9">
        <v>5000</v>
      </c>
      <c r="H4" s="11"/>
      <c r="I4" s="68">
        <v>17970</v>
      </c>
      <c r="J4" s="68">
        <v>19210</v>
      </c>
      <c r="K4" s="68">
        <v>14500</v>
      </c>
      <c r="L4" s="68">
        <v>3000</v>
      </c>
      <c r="M4" s="68">
        <v>5500</v>
      </c>
      <c r="N4" s="68">
        <v>10000</v>
      </c>
      <c r="O4" s="19"/>
      <c r="P4" s="20" t="s">
        <v>44</v>
      </c>
      <c r="Q4" s="10">
        <v>182970</v>
      </c>
      <c r="R4" s="11"/>
      <c r="S4" s="28"/>
      <c r="T4" s="70"/>
      <c r="U4" s="24"/>
      <c r="V4" s="9">
        <v>5500</v>
      </c>
      <c r="W4" s="9">
        <v>2000</v>
      </c>
      <c r="X4" s="9">
        <v>6300</v>
      </c>
      <c r="Y4" s="9">
        <v>30000</v>
      </c>
      <c r="Z4" s="9">
        <v>2500</v>
      </c>
      <c r="AA4" s="9">
        <v>40000</v>
      </c>
      <c r="AB4" s="9">
        <v>2000</v>
      </c>
      <c r="AC4" s="11"/>
      <c r="AD4" s="68">
        <v>5000</v>
      </c>
      <c r="AE4" s="68">
        <v>8600</v>
      </c>
      <c r="AF4" s="68">
        <v>12500</v>
      </c>
      <c r="AG4" s="68">
        <v>81300</v>
      </c>
      <c r="AH4" s="68">
        <v>6600</v>
      </c>
      <c r="AI4" s="68">
        <v>5000</v>
      </c>
      <c r="AJ4" s="68">
        <v>8000</v>
      </c>
      <c r="AK4" s="19"/>
      <c r="AL4" s="20" t="s">
        <v>140</v>
      </c>
      <c r="AM4" s="10">
        <v>761900</v>
      </c>
      <c r="AN4" s="11"/>
      <c r="AO4" s="28"/>
      <c r="AP4" s="70"/>
      <c r="AR4" s="9">
        <v>6300</v>
      </c>
      <c r="AS4" s="9">
        <v>6300</v>
      </c>
      <c r="AT4" s="9">
        <v>8500</v>
      </c>
      <c r="AU4" s="9">
        <v>500</v>
      </c>
      <c r="AV4" s="9">
        <v>28000</v>
      </c>
      <c r="AW4" s="9">
        <v>3000</v>
      </c>
      <c r="AX4" s="9">
        <v>5000</v>
      </c>
      <c r="AY4" s="9">
        <v>500</v>
      </c>
      <c r="AZ4" s="11"/>
      <c r="BA4" s="68">
        <v>2400</v>
      </c>
      <c r="BB4" s="68">
        <v>4000</v>
      </c>
      <c r="BC4" s="68">
        <v>2000</v>
      </c>
      <c r="BD4" s="68">
        <v>5500</v>
      </c>
      <c r="BE4" s="68">
        <v>6000</v>
      </c>
      <c r="BF4" s="68">
        <v>10000</v>
      </c>
      <c r="BG4" s="68">
        <v>2400</v>
      </c>
      <c r="BH4" s="19"/>
      <c r="BI4" s="20" t="s">
        <v>141</v>
      </c>
      <c r="BJ4" s="10">
        <v>389019</v>
      </c>
      <c r="BK4" s="11"/>
      <c r="BL4" s="28"/>
      <c r="BM4" s="70"/>
      <c r="BO4" s="9">
        <v>8000</v>
      </c>
      <c r="BP4" s="9">
        <v>11000</v>
      </c>
      <c r="BQ4" s="9">
        <v>800</v>
      </c>
      <c r="BR4" s="9">
        <v>2000</v>
      </c>
      <c r="BS4" s="9">
        <v>3000</v>
      </c>
      <c r="BT4" s="9">
        <v>5000</v>
      </c>
      <c r="BU4" s="9">
        <v>1000</v>
      </c>
      <c r="BV4" s="11"/>
      <c r="BW4" s="68">
        <v>7110</v>
      </c>
      <c r="BX4" s="68">
        <v>34350</v>
      </c>
      <c r="BY4" s="68">
        <v>8650</v>
      </c>
      <c r="BZ4" s="10">
        <v>1500</v>
      </c>
      <c r="CA4" s="10">
        <v>3500</v>
      </c>
      <c r="CB4" s="10">
        <v>42500</v>
      </c>
      <c r="CC4" s="19"/>
      <c r="CD4" s="20" t="s">
        <v>11</v>
      </c>
      <c r="CE4" s="10">
        <v>128420</v>
      </c>
      <c r="CF4" s="11"/>
      <c r="CG4" s="28"/>
      <c r="CH4" s="70"/>
      <c r="CJ4" s="9">
        <v>1200</v>
      </c>
      <c r="CK4" s="9">
        <v>6500</v>
      </c>
      <c r="CL4" s="9"/>
      <c r="CM4" s="9"/>
      <c r="CN4" s="9"/>
      <c r="CO4" s="9"/>
      <c r="CP4" s="9"/>
      <c r="CQ4" s="11"/>
      <c r="CR4" s="68">
        <v>3650</v>
      </c>
      <c r="CS4" s="10"/>
      <c r="CT4" s="10"/>
      <c r="CU4" s="68">
        <v>10000</v>
      </c>
      <c r="CV4" s="10"/>
      <c r="CW4" s="10"/>
      <c r="CX4" s="19"/>
      <c r="CY4" s="20"/>
      <c r="CZ4" s="10"/>
      <c r="DA4" s="11"/>
      <c r="DB4" s="28"/>
      <c r="DC4" s="70"/>
      <c r="DE4" s="40"/>
      <c r="DF4" s="52"/>
      <c r="DG4" s="53"/>
      <c r="DH4" s="54"/>
    </row>
    <row r="5" ht="15" customHeight="1" spans="1:112">
      <c r="A5" s="9">
        <v>12500</v>
      </c>
      <c r="B5" s="9">
        <v>3000</v>
      </c>
      <c r="C5" s="9">
        <v>3500</v>
      </c>
      <c r="D5" s="9">
        <v>13000</v>
      </c>
      <c r="E5" s="9">
        <v>2000</v>
      </c>
      <c r="F5" s="9">
        <v>5500</v>
      </c>
      <c r="G5" s="9">
        <v>2500</v>
      </c>
      <c r="H5" s="11"/>
      <c r="I5" s="68">
        <v>2110</v>
      </c>
      <c r="J5" s="68">
        <v>1500</v>
      </c>
      <c r="K5" s="68">
        <v>960</v>
      </c>
      <c r="L5" s="68">
        <v>11500</v>
      </c>
      <c r="M5" s="68">
        <v>17000</v>
      </c>
      <c r="N5" s="68">
        <v>3000</v>
      </c>
      <c r="O5" s="19"/>
      <c r="P5" s="20" t="s">
        <v>34</v>
      </c>
      <c r="Q5" s="10">
        <v>80000</v>
      </c>
      <c r="R5" s="11"/>
      <c r="S5" s="27" t="s">
        <v>17</v>
      </c>
      <c r="T5" s="69">
        <f>SUM(I2:N35)</f>
        <v>2810800</v>
      </c>
      <c r="U5" s="24"/>
      <c r="V5" s="9">
        <v>2000</v>
      </c>
      <c r="W5" s="9">
        <v>4500</v>
      </c>
      <c r="X5" s="9">
        <v>7000</v>
      </c>
      <c r="Y5" s="9">
        <v>45000</v>
      </c>
      <c r="Z5" s="9">
        <v>5000</v>
      </c>
      <c r="AA5" s="9">
        <v>4000</v>
      </c>
      <c r="AB5" s="9">
        <v>6000</v>
      </c>
      <c r="AC5" s="11"/>
      <c r="AD5" s="68">
        <v>23000</v>
      </c>
      <c r="AE5" s="68">
        <v>3000</v>
      </c>
      <c r="AF5" s="68">
        <v>4000</v>
      </c>
      <c r="AG5" s="68">
        <v>8500</v>
      </c>
      <c r="AH5" s="68">
        <v>9000</v>
      </c>
      <c r="AI5" s="68">
        <v>7500</v>
      </c>
      <c r="AJ5" s="68">
        <v>3000</v>
      </c>
      <c r="AK5" s="19"/>
      <c r="AL5" s="20" t="s">
        <v>31</v>
      </c>
      <c r="AM5" s="10">
        <v>55000</v>
      </c>
      <c r="AN5" s="11"/>
      <c r="AO5" s="27" t="s">
        <v>17</v>
      </c>
      <c r="AP5" s="69">
        <f>SUM(AD2:AJ35)</f>
        <v>2295900</v>
      </c>
      <c r="AR5" s="9">
        <v>10000</v>
      </c>
      <c r="AS5" s="9">
        <v>1000</v>
      </c>
      <c r="AT5" s="9">
        <v>1500</v>
      </c>
      <c r="AU5" s="9">
        <v>4500</v>
      </c>
      <c r="AV5" s="9">
        <v>2000</v>
      </c>
      <c r="AW5" s="9">
        <v>8200</v>
      </c>
      <c r="AX5" s="9">
        <v>3000</v>
      </c>
      <c r="AY5" s="9">
        <v>3000</v>
      </c>
      <c r="AZ5" s="11"/>
      <c r="BA5" s="68">
        <v>70000</v>
      </c>
      <c r="BB5" s="68">
        <v>40000</v>
      </c>
      <c r="BC5" s="68">
        <v>9600</v>
      </c>
      <c r="BD5" s="68">
        <v>6000</v>
      </c>
      <c r="BE5" s="68">
        <v>4000</v>
      </c>
      <c r="BF5" s="68">
        <v>1500</v>
      </c>
      <c r="BG5" s="68">
        <v>34000</v>
      </c>
      <c r="BH5" s="19"/>
      <c r="BI5" s="20" t="s">
        <v>28</v>
      </c>
      <c r="BJ5" s="10">
        <v>703000</v>
      </c>
      <c r="BK5" s="11"/>
      <c r="BL5" s="27" t="s">
        <v>17</v>
      </c>
      <c r="BM5" s="69">
        <f>SUM(BA2:BG35)</f>
        <v>2753090</v>
      </c>
      <c r="BO5" s="9">
        <v>5000</v>
      </c>
      <c r="BP5" s="9">
        <v>1500</v>
      </c>
      <c r="BQ5" s="9">
        <v>2000</v>
      </c>
      <c r="BR5" s="9">
        <v>600</v>
      </c>
      <c r="BS5" s="9">
        <v>1000</v>
      </c>
      <c r="BT5" s="9">
        <v>2000</v>
      </c>
      <c r="BU5" s="9">
        <v>4500</v>
      </c>
      <c r="BV5" s="11"/>
      <c r="BW5" s="68">
        <v>3440</v>
      </c>
      <c r="BX5" s="68">
        <v>9220</v>
      </c>
      <c r="BY5" s="68">
        <v>10000</v>
      </c>
      <c r="BZ5" s="10">
        <v>20000</v>
      </c>
      <c r="CA5" s="10">
        <v>2500</v>
      </c>
      <c r="CB5" s="10">
        <v>4000</v>
      </c>
      <c r="CC5" s="19"/>
      <c r="CD5" s="20" t="s">
        <v>86</v>
      </c>
      <c r="CE5" s="10">
        <v>155900</v>
      </c>
      <c r="CF5" s="11"/>
      <c r="CG5" s="27" t="s">
        <v>17</v>
      </c>
      <c r="CH5" s="69">
        <f>SUM(BW2:CB35)</f>
        <v>3037060</v>
      </c>
      <c r="CJ5" s="9">
        <v>2700</v>
      </c>
      <c r="CK5" s="9">
        <v>3000</v>
      </c>
      <c r="CL5" s="9"/>
      <c r="CM5" s="9"/>
      <c r="CN5" s="9"/>
      <c r="CO5" s="9"/>
      <c r="CP5" s="9"/>
      <c r="CQ5" s="11"/>
      <c r="CR5" s="68">
        <v>7120</v>
      </c>
      <c r="CS5" s="10"/>
      <c r="CT5" s="10"/>
      <c r="CU5" s="68">
        <v>2500</v>
      </c>
      <c r="CV5" s="10"/>
      <c r="CW5" s="10"/>
      <c r="CX5" s="19"/>
      <c r="CY5" s="20"/>
      <c r="CZ5" s="10"/>
      <c r="DA5" s="11"/>
      <c r="DB5" s="27" t="s">
        <v>17</v>
      </c>
      <c r="DC5" s="69">
        <f>SUM(CR2:CW35)</f>
        <v>781130</v>
      </c>
      <c r="DE5" s="39" t="s">
        <v>17</v>
      </c>
      <c r="DF5" s="49"/>
      <c r="DG5" s="50">
        <f>SUM(T5,AP5,BM5,CH5,DC5)</f>
        <v>11677980</v>
      </c>
      <c r="DH5" s="51"/>
    </row>
    <row r="6" ht="15" customHeight="1" spans="1:112">
      <c r="A6" s="9">
        <v>20000</v>
      </c>
      <c r="B6" s="9">
        <v>5000</v>
      </c>
      <c r="C6" s="9">
        <v>1300</v>
      </c>
      <c r="D6" s="9">
        <v>6500</v>
      </c>
      <c r="E6" s="9">
        <v>2500</v>
      </c>
      <c r="F6" s="9">
        <v>4500</v>
      </c>
      <c r="G6" s="9">
        <v>4500</v>
      </c>
      <c r="H6" s="11"/>
      <c r="I6" s="68">
        <v>4800</v>
      </c>
      <c r="J6" s="68">
        <v>3500</v>
      </c>
      <c r="K6" s="10"/>
      <c r="L6" s="68">
        <v>20000</v>
      </c>
      <c r="M6" s="68">
        <v>8000</v>
      </c>
      <c r="N6" s="68">
        <v>50000</v>
      </c>
      <c r="O6" s="19"/>
      <c r="P6" s="20" t="s">
        <v>87</v>
      </c>
      <c r="Q6" s="10">
        <v>118780</v>
      </c>
      <c r="R6" s="11"/>
      <c r="S6" s="28"/>
      <c r="T6" s="70"/>
      <c r="U6" s="24"/>
      <c r="V6" s="9">
        <v>8000</v>
      </c>
      <c r="W6" s="9">
        <v>4000</v>
      </c>
      <c r="X6" s="9">
        <v>1300</v>
      </c>
      <c r="Y6" s="9">
        <v>58500</v>
      </c>
      <c r="Z6" s="9">
        <v>600</v>
      </c>
      <c r="AA6" s="9">
        <v>15000</v>
      </c>
      <c r="AB6" s="9">
        <v>2000</v>
      </c>
      <c r="AC6" s="11"/>
      <c r="AD6" s="68">
        <v>11300</v>
      </c>
      <c r="AE6" s="68">
        <v>1500</v>
      </c>
      <c r="AF6" s="68">
        <v>5280</v>
      </c>
      <c r="AG6" s="68">
        <v>8000</v>
      </c>
      <c r="AH6" s="68">
        <v>3500</v>
      </c>
      <c r="AI6" s="68">
        <v>4500</v>
      </c>
      <c r="AJ6" s="68">
        <v>1300</v>
      </c>
      <c r="AK6" s="19"/>
      <c r="AL6" s="20" t="s">
        <v>142</v>
      </c>
      <c r="AM6" s="10">
        <v>180000</v>
      </c>
      <c r="AN6" s="11"/>
      <c r="AO6" s="28"/>
      <c r="AP6" s="70"/>
      <c r="AR6" s="9">
        <v>4000</v>
      </c>
      <c r="AS6" s="9">
        <v>4500</v>
      </c>
      <c r="AT6" s="9">
        <v>14500</v>
      </c>
      <c r="AU6" s="9">
        <v>13000</v>
      </c>
      <c r="AV6" s="9">
        <v>4500</v>
      </c>
      <c r="AW6" s="9">
        <v>8500</v>
      </c>
      <c r="AX6" s="9">
        <v>12000</v>
      </c>
      <c r="AY6" s="9">
        <v>2000</v>
      </c>
      <c r="AZ6" s="11"/>
      <c r="BA6" s="68">
        <v>8500</v>
      </c>
      <c r="BB6" s="68">
        <v>3000</v>
      </c>
      <c r="BC6" s="68">
        <v>19310</v>
      </c>
      <c r="BD6" s="68">
        <v>30000</v>
      </c>
      <c r="BE6" s="68">
        <v>5000</v>
      </c>
      <c r="BF6" s="68">
        <v>4000</v>
      </c>
      <c r="BG6" s="68">
        <v>10000</v>
      </c>
      <c r="BH6" s="19"/>
      <c r="BI6" s="20" t="s">
        <v>116</v>
      </c>
      <c r="BJ6" s="10">
        <v>190350</v>
      </c>
      <c r="BK6" s="11"/>
      <c r="BL6" s="28"/>
      <c r="BM6" s="70"/>
      <c r="BO6" s="9">
        <v>2300</v>
      </c>
      <c r="BP6" s="9">
        <v>3000</v>
      </c>
      <c r="BQ6" s="9">
        <v>13000</v>
      </c>
      <c r="BR6" s="9">
        <v>2000</v>
      </c>
      <c r="BS6" s="9">
        <v>10000</v>
      </c>
      <c r="BT6" s="9">
        <v>4300</v>
      </c>
      <c r="BU6" s="9">
        <v>20000</v>
      </c>
      <c r="BV6" s="11"/>
      <c r="BW6" s="68">
        <v>215450</v>
      </c>
      <c r="BX6" s="68">
        <v>5590</v>
      </c>
      <c r="BY6" s="10"/>
      <c r="BZ6" s="10">
        <v>27500</v>
      </c>
      <c r="CA6" s="10">
        <v>7700</v>
      </c>
      <c r="CB6" s="10">
        <v>17000</v>
      </c>
      <c r="CC6" s="19"/>
      <c r="CD6" s="20" t="s">
        <v>58</v>
      </c>
      <c r="CE6" s="10">
        <v>110310</v>
      </c>
      <c r="CF6" s="11"/>
      <c r="CG6" s="28"/>
      <c r="CH6" s="70"/>
      <c r="CJ6" s="9">
        <v>2000</v>
      </c>
      <c r="CK6" s="9">
        <v>3400</v>
      </c>
      <c r="CL6" s="9"/>
      <c r="CM6" s="9"/>
      <c r="CN6" s="9"/>
      <c r="CO6" s="9"/>
      <c r="CP6" s="9"/>
      <c r="CQ6" s="11"/>
      <c r="CR6" s="68">
        <v>19600</v>
      </c>
      <c r="CS6" s="10"/>
      <c r="CT6" s="10"/>
      <c r="CU6" s="68">
        <v>16000</v>
      </c>
      <c r="CV6" s="10"/>
      <c r="CW6" s="10"/>
      <c r="CX6" s="19"/>
      <c r="CY6" s="20"/>
      <c r="CZ6" s="10"/>
      <c r="DA6" s="11"/>
      <c r="DB6" s="28"/>
      <c r="DC6" s="70"/>
      <c r="DE6" s="40"/>
      <c r="DF6" s="52"/>
      <c r="DG6" s="53"/>
      <c r="DH6" s="54"/>
    </row>
    <row r="7" ht="15" customHeight="1" spans="1:112">
      <c r="A7" s="9">
        <v>6100</v>
      </c>
      <c r="B7" s="9">
        <v>18000</v>
      </c>
      <c r="C7" s="9">
        <v>5400</v>
      </c>
      <c r="D7" s="9">
        <v>1600</v>
      </c>
      <c r="E7" s="9">
        <v>2300</v>
      </c>
      <c r="F7" s="9">
        <v>4500</v>
      </c>
      <c r="G7" s="9">
        <v>35500</v>
      </c>
      <c r="H7" s="11"/>
      <c r="I7" s="68">
        <v>8170</v>
      </c>
      <c r="J7" s="68">
        <v>13210</v>
      </c>
      <c r="K7" s="10"/>
      <c r="L7" s="68">
        <v>6000</v>
      </c>
      <c r="M7" s="68">
        <v>20000</v>
      </c>
      <c r="N7" s="68">
        <v>3000</v>
      </c>
      <c r="O7" s="19"/>
      <c r="P7" s="20" t="s">
        <v>18</v>
      </c>
      <c r="Q7" s="10">
        <v>615600</v>
      </c>
      <c r="R7" s="11"/>
      <c r="S7" s="27" t="s">
        <v>1</v>
      </c>
      <c r="T7" s="69">
        <f>SUM(Q2:Q35)</f>
        <v>5355880</v>
      </c>
      <c r="U7" s="24"/>
      <c r="V7" s="9">
        <v>9500</v>
      </c>
      <c r="W7" s="9">
        <v>1000</v>
      </c>
      <c r="X7" s="9">
        <v>5900</v>
      </c>
      <c r="Y7" s="9">
        <v>2000</v>
      </c>
      <c r="Z7" s="9">
        <v>8000</v>
      </c>
      <c r="AA7" s="9">
        <v>3000</v>
      </c>
      <c r="AB7" s="9">
        <v>5000</v>
      </c>
      <c r="AC7" s="11"/>
      <c r="AD7" s="68">
        <v>6000</v>
      </c>
      <c r="AE7" s="68">
        <v>2380</v>
      </c>
      <c r="AF7" s="68">
        <v>11530</v>
      </c>
      <c r="AG7" s="68">
        <v>1500</v>
      </c>
      <c r="AH7" s="68">
        <v>5500</v>
      </c>
      <c r="AI7" s="68">
        <v>3000</v>
      </c>
      <c r="AJ7" s="68">
        <v>8000</v>
      </c>
      <c r="AK7" s="19"/>
      <c r="AL7" s="20" t="s">
        <v>125</v>
      </c>
      <c r="AM7" s="10">
        <v>140300</v>
      </c>
      <c r="AN7" s="11"/>
      <c r="AO7" s="27" t="s">
        <v>1</v>
      </c>
      <c r="AP7" s="69">
        <f>SUM(AM2:AM35)</f>
        <v>2833100</v>
      </c>
      <c r="AR7" s="9">
        <v>300</v>
      </c>
      <c r="AS7" s="9">
        <v>29600</v>
      </c>
      <c r="AT7" s="9">
        <v>2500</v>
      </c>
      <c r="AU7" s="9">
        <v>6500</v>
      </c>
      <c r="AV7" s="9">
        <v>2000</v>
      </c>
      <c r="AW7" s="9">
        <v>2400</v>
      </c>
      <c r="AX7" s="9">
        <v>2000</v>
      </c>
      <c r="AY7" s="9">
        <v>8500</v>
      </c>
      <c r="AZ7" s="11"/>
      <c r="BA7" s="68">
        <v>5800</v>
      </c>
      <c r="BB7" s="68">
        <v>300</v>
      </c>
      <c r="BC7" s="68">
        <v>1500</v>
      </c>
      <c r="BD7" s="68">
        <v>4800</v>
      </c>
      <c r="BE7" s="68">
        <v>4500</v>
      </c>
      <c r="BF7" s="68">
        <v>1500</v>
      </c>
      <c r="BG7" s="68">
        <v>34500</v>
      </c>
      <c r="BH7" s="19"/>
      <c r="BI7" s="20" t="s">
        <v>65</v>
      </c>
      <c r="BJ7" s="10">
        <v>43000</v>
      </c>
      <c r="BK7" s="11"/>
      <c r="BL7" s="27" t="s">
        <v>1</v>
      </c>
      <c r="BM7" s="69">
        <f>SUM(BJ2:BJ35)</f>
        <v>4755944</v>
      </c>
      <c r="BO7" s="9">
        <v>1500</v>
      </c>
      <c r="BP7" s="9">
        <v>20000</v>
      </c>
      <c r="BQ7" s="9">
        <v>3500</v>
      </c>
      <c r="BR7" s="9">
        <v>10800</v>
      </c>
      <c r="BS7" s="9">
        <v>4000</v>
      </c>
      <c r="BT7" s="9">
        <v>4000</v>
      </c>
      <c r="BU7" s="9">
        <v>5000</v>
      </c>
      <c r="BV7" s="11"/>
      <c r="BW7" s="68">
        <v>6200</v>
      </c>
      <c r="BX7" s="68">
        <v>6000</v>
      </c>
      <c r="BY7" s="10"/>
      <c r="BZ7" s="10">
        <v>7500</v>
      </c>
      <c r="CA7" s="10">
        <v>3500</v>
      </c>
      <c r="CB7" s="10">
        <v>4500</v>
      </c>
      <c r="CC7" s="19"/>
      <c r="CD7" s="20" t="s">
        <v>129</v>
      </c>
      <c r="CE7" s="10">
        <v>343000</v>
      </c>
      <c r="CF7" s="11"/>
      <c r="CG7" s="27" t="s">
        <v>1</v>
      </c>
      <c r="CH7" s="69">
        <f>SUM(CE2:CE35)</f>
        <v>3887170</v>
      </c>
      <c r="CJ7" s="9">
        <v>2000</v>
      </c>
      <c r="CK7" s="9">
        <v>7000</v>
      </c>
      <c r="CL7" s="9"/>
      <c r="CM7" s="9"/>
      <c r="CN7" s="9"/>
      <c r="CO7" s="9"/>
      <c r="CP7" s="9"/>
      <c r="CQ7" s="11"/>
      <c r="CR7" s="68">
        <v>20830</v>
      </c>
      <c r="CS7" s="10"/>
      <c r="CT7" s="10"/>
      <c r="CU7" s="68">
        <v>3500</v>
      </c>
      <c r="CV7" s="10"/>
      <c r="CW7" s="10"/>
      <c r="CX7" s="19"/>
      <c r="CY7" s="20"/>
      <c r="CZ7" s="10"/>
      <c r="DA7" s="11"/>
      <c r="DB7" s="27" t="s">
        <v>1</v>
      </c>
      <c r="DC7" s="69">
        <f>SUM(CZ2:CZ35)</f>
        <v>33730</v>
      </c>
      <c r="DE7" s="39" t="s">
        <v>1</v>
      </c>
      <c r="DF7" s="49"/>
      <c r="DG7" s="50">
        <f>SUM(T7,AP7,BM7,CH7,DC7)</f>
        <v>16865824</v>
      </c>
      <c r="DH7" s="51"/>
    </row>
    <row r="8" ht="15" customHeight="1" spans="1:112">
      <c r="A8" s="9">
        <v>5000</v>
      </c>
      <c r="B8" s="9">
        <v>1500</v>
      </c>
      <c r="C8" s="9">
        <v>7000</v>
      </c>
      <c r="D8" s="9">
        <v>22500</v>
      </c>
      <c r="E8" s="9">
        <v>5000</v>
      </c>
      <c r="F8" s="9">
        <v>800</v>
      </c>
      <c r="G8" s="9">
        <v>500</v>
      </c>
      <c r="H8" s="11"/>
      <c r="I8" s="68">
        <v>19220</v>
      </c>
      <c r="J8" s="68">
        <v>12680</v>
      </c>
      <c r="K8" s="10"/>
      <c r="L8" s="68">
        <v>12000</v>
      </c>
      <c r="M8" s="68">
        <v>4500</v>
      </c>
      <c r="N8" s="68">
        <v>10000</v>
      </c>
      <c r="O8" s="19"/>
      <c r="P8" s="20" t="s">
        <v>14</v>
      </c>
      <c r="Q8" s="10">
        <v>690400</v>
      </c>
      <c r="R8" s="11"/>
      <c r="S8" s="28"/>
      <c r="T8" s="70"/>
      <c r="U8" s="24"/>
      <c r="V8" s="9">
        <v>4000</v>
      </c>
      <c r="W8" s="9">
        <v>10000</v>
      </c>
      <c r="X8" s="9">
        <v>36500</v>
      </c>
      <c r="Y8" s="9">
        <v>3600</v>
      </c>
      <c r="Z8" s="9">
        <v>4500</v>
      </c>
      <c r="AA8" s="9">
        <v>12000</v>
      </c>
      <c r="AB8" s="9">
        <v>16000</v>
      </c>
      <c r="AC8" s="11"/>
      <c r="AD8" s="68">
        <v>1500</v>
      </c>
      <c r="AE8" s="68">
        <v>5600</v>
      </c>
      <c r="AF8" s="68">
        <v>1000</v>
      </c>
      <c r="AG8" s="68">
        <v>20000</v>
      </c>
      <c r="AH8" s="68">
        <v>600</v>
      </c>
      <c r="AI8" s="68">
        <v>4400</v>
      </c>
      <c r="AJ8" s="68">
        <v>2700</v>
      </c>
      <c r="AK8" s="19"/>
      <c r="AL8" s="20" t="s">
        <v>15</v>
      </c>
      <c r="AM8" s="10">
        <v>86300</v>
      </c>
      <c r="AN8" s="11"/>
      <c r="AO8" s="28"/>
      <c r="AP8" s="70"/>
      <c r="AR8" s="9">
        <v>4500</v>
      </c>
      <c r="AS8" s="9">
        <v>8500</v>
      </c>
      <c r="AT8" s="9">
        <v>6000</v>
      </c>
      <c r="AU8" s="9">
        <v>6600</v>
      </c>
      <c r="AV8" s="9">
        <v>80000</v>
      </c>
      <c r="AW8" s="9">
        <v>2400</v>
      </c>
      <c r="AX8" s="9">
        <v>7000</v>
      </c>
      <c r="AY8" s="9">
        <v>7500</v>
      </c>
      <c r="AZ8" s="11"/>
      <c r="BA8" s="68">
        <v>13500</v>
      </c>
      <c r="BB8" s="68">
        <v>8170</v>
      </c>
      <c r="BC8" s="68">
        <v>3560</v>
      </c>
      <c r="BD8" s="10"/>
      <c r="BE8" s="68">
        <v>13000</v>
      </c>
      <c r="BF8" s="68">
        <v>2500</v>
      </c>
      <c r="BG8" s="68">
        <v>9500</v>
      </c>
      <c r="BH8" s="19"/>
      <c r="BI8" s="20" t="s">
        <v>27</v>
      </c>
      <c r="BJ8" s="10">
        <v>87000</v>
      </c>
      <c r="BK8" s="11"/>
      <c r="BL8" s="28"/>
      <c r="BM8" s="70"/>
      <c r="BO8" s="9">
        <v>5500</v>
      </c>
      <c r="BP8" s="9">
        <v>16800</v>
      </c>
      <c r="BQ8" s="9">
        <v>14000</v>
      </c>
      <c r="BR8" s="9">
        <v>28000</v>
      </c>
      <c r="BS8" s="9">
        <v>6500</v>
      </c>
      <c r="BT8" s="9">
        <v>10000</v>
      </c>
      <c r="BU8" s="9">
        <v>2400</v>
      </c>
      <c r="BV8" s="11"/>
      <c r="BW8" s="68">
        <v>13000</v>
      </c>
      <c r="BX8" s="68">
        <v>17230</v>
      </c>
      <c r="BY8" s="10"/>
      <c r="BZ8" s="10">
        <v>2500</v>
      </c>
      <c r="CA8" s="10">
        <v>15000</v>
      </c>
      <c r="CB8" s="10">
        <v>6500</v>
      </c>
      <c r="CC8" s="19"/>
      <c r="CD8" s="20" t="s">
        <v>143</v>
      </c>
      <c r="CE8" s="10">
        <v>60000</v>
      </c>
      <c r="CF8" s="11"/>
      <c r="CG8" s="28"/>
      <c r="CH8" s="70"/>
      <c r="CJ8" s="9">
        <v>23700</v>
      </c>
      <c r="CK8" s="9">
        <v>5500</v>
      </c>
      <c r="CL8" s="9"/>
      <c r="CM8" s="9"/>
      <c r="CN8" s="9"/>
      <c r="CO8" s="9"/>
      <c r="CP8" s="9"/>
      <c r="CQ8" s="11"/>
      <c r="CR8" s="68">
        <v>7000</v>
      </c>
      <c r="CS8" s="10"/>
      <c r="CT8" s="10"/>
      <c r="CU8" s="68">
        <v>3500</v>
      </c>
      <c r="CV8" s="10"/>
      <c r="CW8" s="10"/>
      <c r="CX8" s="19"/>
      <c r="CY8" s="20"/>
      <c r="CZ8" s="10"/>
      <c r="DA8" s="11"/>
      <c r="DB8" s="28"/>
      <c r="DC8" s="70"/>
      <c r="DE8" s="40"/>
      <c r="DF8" s="52"/>
      <c r="DG8" s="53"/>
      <c r="DH8" s="54"/>
    </row>
    <row r="9" ht="15" customHeight="1" spans="1:112">
      <c r="A9" s="9">
        <v>21900</v>
      </c>
      <c r="B9" s="9">
        <v>1900</v>
      </c>
      <c r="C9" s="9">
        <v>3900</v>
      </c>
      <c r="D9" s="9">
        <v>16000</v>
      </c>
      <c r="E9" s="9">
        <v>30000</v>
      </c>
      <c r="F9" s="9">
        <v>6000</v>
      </c>
      <c r="G9" s="9">
        <v>48000</v>
      </c>
      <c r="H9" s="11"/>
      <c r="I9" s="68">
        <v>960</v>
      </c>
      <c r="J9" s="68">
        <v>8320</v>
      </c>
      <c r="K9" s="10"/>
      <c r="L9" s="68">
        <v>2300</v>
      </c>
      <c r="M9" s="68">
        <v>2000</v>
      </c>
      <c r="N9" s="68">
        <v>1000</v>
      </c>
      <c r="O9" s="19"/>
      <c r="P9" s="20" t="s">
        <v>14</v>
      </c>
      <c r="Q9" s="10">
        <v>1116680</v>
      </c>
      <c r="R9" s="11"/>
      <c r="S9" s="29" t="s">
        <v>33</v>
      </c>
      <c r="T9" s="71">
        <f>T3+T5</f>
        <v>4802300</v>
      </c>
      <c r="U9" s="24"/>
      <c r="V9" s="9">
        <v>2000</v>
      </c>
      <c r="W9" s="9">
        <v>12500</v>
      </c>
      <c r="X9" s="9">
        <v>9000</v>
      </c>
      <c r="Y9" s="9">
        <v>10000</v>
      </c>
      <c r="Z9" s="9">
        <v>2500</v>
      </c>
      <c r="AA9" s="9">
        <v>86000</v>
      </c>
      <c r="AB9" s="9">
        <v>3000</v>
      </c>
      <c r="AC9" s="11"/>
      <c r="AD9" s="68">
        <v>2800</v>
      </c>
      <c r="AE9" s="68">
        <v>34550</v>
      </c>
      <c r="AF9" s="68">
        <v>4500</v>
      </c>
      <c r="AG9" s="10"/>
      <c r="AH9" s="68">
        <v>26000</v>
      </c>
      <c r="AI9" s="68">
        <v>10000</v>
      </c>
      <c r="AJ9" s="68">
        <v>9700</v>
      </c>
      <c r="AK9" s="19"/>
      <c r="AL9" s="20" t="s">
        <v>144</v>
      </c>
      <c r="AM9" s="10">
        <v>201000</v>
      </c>
      <c r="AN9" s="11"/>
      <c r="AO9" s="29" t="s">
        <v>33</v>
      </c>
      <c r="AP9" s="71">
        <f>AP3+AP5</f>
        <v>4371250</v>
      </c>
      <c r="AR9" s="9">
        <v>500</v>
      </c>
      <c r="AS9" s="9">
        <v>140000</v>
      </c>
      <c r="AT9" s="9">
        <v>1500</v>
      </c>
      <c r="AU9" s="9">
        <v>4500</v>
      </c>
      <c r="AV9" s="9">
        <v>5000</v>
      </c>
      <c r="AW9" s="9">
        <v>6000</v>
      </c>
      <c r="AX9" s="9">
        <v>56600</v>
      </c>
      <c r="AY9" s="9">
        <v>3000</v>
      </c>
      <c r="AZ9" s="11"/>
      <c r="BA9" s="68">
        <v>4800</v>
      </c>
      <c r="BB9" s="68">
        <v>4800</v>
      </c>
      <c r="BC9" s="68">
        <v>10200</v>
      </c>
      <c r="BD9" s="10"/>
      <c r="BE9" s="68">
        <v>25000</v>
      </c>
      <c r="BF9" s="68">
        <v>20000</v>
      </c>
      <c r="BG9" s="68">
        <v>4500</v>
      </c>
      <c r="BH9" s="19"/>
      <c r="BI9" s="20" t="s">
        <v>46</v>
      </c>
      <c r="BJ9" s="10">
        <v>15000</v>
      </c>
      <c r="BK9" s="11"/>
      <c r="BL9" s="29" t="s">
        <v>33</v>
      </c>
      <c r="BM9" s="71">
        <f>BM3+BM5</f>
        <v>5357700</v>
      </c>
      <c r="BO9" s="9">
        <v>2000</v>
      </c>
      <c r="BP9" s="9">
        <v>1500</v>
      </c>
      <c r="BQ9" s="9">
        <v>11100</v>
      </c>
      <c r="BR9" s="9">
        <v>2500</v>
      </c>
      <c r="BS9" s="9">
        <v>2000</v>
      </c>
      <c r="BT9" s="9">
        <v>4700</v>
      </c>
      <c r="BU9" s="9">
        <v>7000</v>
      </c>
      <c r="BV9" s="11"/>
      <c r="BW9" s="68">
        <v>3500</v>
      </c>
      <c r="BX9" s="68">
        <v>5900</v>
      </c>
      <c r="BY9" s="10"/>
      <c r="BZ9" s="10">
        <v>2750</v>
      </c>
      <c r="CA9" s="10">
        <v>4500</v>
      </c>
      <c r="CB9" s="10">
        <v>3000</v>
      </c>
      <c r="CC9" s="19"/>
      <c r="CD9" s="20" t="s">
        <v>125</v>
      </c>
      <c r="CE9" s="10">
        <v>200340</v>
      </c>
      <c r="CF9" s="11"/>
      <c r="CG9" s="29" t="s">
        <v>33</v>
      </c>
      <c r="CH9" s="71">
        <f>CH3+CH5</f>
        <v>5767660</v>
      </c>
      <c r="CJ9" s="9">
        <v>4500</v>
      </c>
      <c r="CK9" s="9">
        <v>1000</v>
      </c>
      <c r="CL9" s="9"/>
      <c r="CM9" s="9"/>
      <c r="CN9" s="9"/>
      <c r="CO9" s="9"/>
      <c r="CP9" s="9"/>
      <c r="CQ9" s="11"/>
      <c r="CR9" s="68">
        <v>8320</v>
      </c>
      <c r="CS9" s="10"/>
      <c r="CT9" s="10"/>
      <c r="CU9" s="68">
        <v>27500</v>
      </c>
      <c r="CV9" s="10"/>
      <c r="CW9" s="10"/>
      <c r="CX9" s="19"/>
      <c r="CY9" s="20"/>
      <c r="CZ9" s="10"/>
      <c r="DA9" s="11"/>
      <c r="DB9" s="29" t="s">
        <v>33</v>
      </c>
      <c r="DC9" s="71">
        <f>DC3+DC5</f>
        <v>1109330</v>
      </c>
      <c r="DE9" s="41" t="s">
        <v>33</v>
      </c>
      <c r="DF9" s="55"/>
      <c r="DG9" s="56">
        <f>DG3+DG5</f>
        <v>21408240</v>
      </c>
      <c r="DH9" s="57"/>
    </row>
    <row r="10" ht="15" customHeight="1" spans="1:112">
      <c r="A10" s="9">
        <v>12000</v>
      </c>
      <c r="B10" s="9">
        <v>4500</v>
      </c>
      <c r="C10" s="9">
        <v>1500</v>
      </c>
      <c r="D10" s="9">
        <v>3500</v>
      </c>
      <c r="E10" s="9">
        <v>93000</v>
      </c>
      <c r="F10" s="9">
        <v>600</v>
      </c>
      <c r="G10" s="9">
        <v>3000</v>
      </c>
      <c r="H10" s="11"/>
      <c r="I10" s="68">
        <v>22360</v>
      </c>
      <c r="J10" s="68">
        <v>7690</v>
      </c>
      <c r="K10" s="10"/>
      <c r="L10" s="68">
        <v>2000</v>
      </c>
      <c r="M10" s="68">
        <v>30000</v>
      </c>
      <c r="N10" s="68">
        <v>6000</v>
      </c>
      <c r="O10" s="19"/>
      <c r="P10" s="20" t="s">
        <v>116</v>
      </c>
      <c r="Q10" s="10">
        <v>223400</v>
      </c>
      <c r="R10" s="11"/>
      <c r="S10" s="29" t="s">
        <v>36</v>
      </c>
      <c r="T10" s="71">
        <f>T1+T3+T5-T7+T15+T16</f>
        <v>-553580</v>
      </c>
      <c r="U10" s="24"/>
      <c r="V10" s="9">
        <v>60000</v>
      </c>
      <c r="W10" s="9">
        <v>5000</v>
      </c>
      <c r="X10" s="9">
        <v>2600</v>
      </c>
      <c r="Y10" s="9">
        <v>8000</v>
      </c>
      <c r="Z10" s="9">
        <v>18500</v>
      </c>
      <c r="AA10" s="9">
        <v>3000</v>
      </c>
      <c r="AB10" s="9">
        <v>8500</v>
      </c>
      <c r="AC10" s="11"/>
      <c r="AD10" s="68">
        <v>25300</v>
      </c>
      <c r="AE10" s="68">
        <v>3270</v>
      </c>
      <c r="AF10" s="68">
        <v>4200</v>
      </c>
      <c r="AG10" s="10"/>
      <c r="AH10" s="68">
        <v>6500</v>
      </c>
      <c r="AI10" s="68">
        <v>16000</v>
      </c>
      <c r="AJ10" s="68">
        <v>26000</v>
      </c>
      <c r="AK10" s="19"/>
      <c r="AL10" s="20" t="s">
        <v>31</v>
      </c>
      <c r="AM10" s="10">
        <v>10300</v>
      </c>
      <c r="AN10" s="11"/>
      <c r="AO10" s="29" t="s">
        <v>36</v>
      </c>
      <c r="AP10" s="71">
        <f>AP1+AP3+AP5-AP7+AP15+AP16</f>
        <v>1936140</v>
      </c>
      <c r="AR10" s="9">
        <v>4500</v>
      </c>
      <c r="AS10" s="9">
        <v>2500</v>
      </c>
      <c r="AT10" s="9">
        <v>4000</v>
      </c>
      <c r="AU10" s="9">
        <v>10500</v>
      </c>
      <c r="AV10" s="9">
        <v>2000</v>
      </c>
      <c r="AW10" s="9">
        <v>35000</v>
      </c>
      <c r="AX10" s="9">
        <v>7500</v>
      </c>
      <c r="AY10" s="9">
        <v>17600</v>
      </c>
      <c r="AZ10" s="11"/>
      <c r="BA10" s="68">
        <v>35060</v>
      </c>
      <c r="BB10" s="68">
        <v>8450</v>
      </c>
      <c r="BC10" s="68">
        <v>4500</v>
      </c>
      <c r="BD10" s="10"/>
      <c r="BE10" s="68">
        <v>8500</v>
      </c>
      <c r="BF10" s="68">
        <v>8200</v>
      </c>
      <c r="BG10" s="68">
        <v>24000</v>
      </c>
      <c r="BH10" s="19"/>
      <c r="BI10" s="20" t="s">
        <v>137</v>
      </c>
      <c r="BJ10" s="10">
        <v>30380</v>
      </c>
      <c r="BK10" s="11"/>
      <c r="BL10" s="29" t="s">
        <v>36</v>
      </c>
      <c r="BM10" s="71">
        <f>BM1+BM3+BM5-BM7+BM15+BM16</f>
        <v>1998516</v>
      </c>
      <c r="BO10" s="9">
        <v>4000</v>
      </c>
      <c r="BP10" s="9">
        <v>3000</v>
      </c>
      <c r="BQ10" s="9">
        <v>14000</v>
      </c>
      <c r="BR10" s="9">
        <v>2200</v>
      </c>
      <c r="BS10" s="9">
        <v>15000</v>
      </c>
      <c r="BT10" s="9">
        <v>2000</v>
      </c>
      <c r="BU10" s="9">
        <v>34500</v>
      </c>
      <c r="BV10" s="11"/>
      <c r="BW10" s="68">
        <v>28000</v>
      </c>
      <c r="BX10" s="68">
        <v>15750</v>
      </c>
      <c r="BY10" s="10"/>
      <c r="BZ10" s="10">
        <v>18000</v>
      </c>
      <c r="CA10" s="10">
        <v>2000</v>
      </c>
      <c r="CB10" s="10">
        <v>3500</v>
      </c>
      <c r="CC10" s="19"/>
      <c r="CD10" s="20" t="s">
        <v>18</v>
      </c>
      <c r="CE10" s="10">
        <v>665400</v>
      </c>
      <c r="CF10" s="11"/>
      <c r="CG10" s="29" t="s">
        <v>36</v>
      </c>
      <c r="CH10" s="71">
        <f>CH1+CH3+CH5-CH7+CH15+CH16</f>
        <v>2964015</v>
      </c>
      <c r="CJ10" s="9">
        <v>4500</v>
      </c>
      <c r="CK10" s="9">
        <v>2000</v>
      </c>
      <c r="CL10" s="9"/>
      <c r="CM10" s="9"/>
      <c r="CN10" s="9"/>
      <c r="CO10" s="9"/>
      <c r="CP10" s="9"/>
      <c r="CQ10" s="11"/>
      <c r="CR10" s="68">
        <v>81300</v>
      </c>
      <c r="CS10" s="10"/>
      <c r="CT10" s="10"/>
      <c r="CU10" s="68">
        <v>40000</v>
      </c>
      <c r="CV10" s="10"/>
      <c r="CW10" s="10"/>
      <c r="CX10" s="19"/>
      <c r="CY10" s="20"/>
      <c r="CZ10" s="10"/>
      <c r="DA10" s="11"/>
      <c r="DB10" s="29" t="s">
        <v>36</v>
      </c>
      <c r="DC10" s="71">
        <f>DC1+DC3+DC5-DC7+DC15+DC16</f>
        <v>2574935</v>
      </c>
      <c r="DE10" s="42"/>
      <c r="DF10" s="58"/>
      <c r="DG10" s="59"/>
      <c r="DH10" s="60"/>
    </row>
    <row r="11" ht="15" customHeight="1" spans="1:112">
      <c r="A11" s="9">
        <v>6100</v>
      </c>
      <c r="B11" s="9">
        <v>2000</v>
      </c>
      <c r="C11" s="9">
        <v>1600</v>
      </c>
      <c r="D11" s="9">
        <v>5000</v>
      </c>
      <c r="E11" s="9">
        <v>10500</v>
      </c>
      <c r="F11" s="9">
        <v>3000</v>
      </c>
      <c r="G11" s="9">
        <v>5000</v>
      </c>
      <c r="H11" s="11"/>
      <c r="I11" s="68">
        <v>2880</v>
      </c>
      <c r="J11" s="68">
        <v>1920</v>
      </c>
      <c r="K11" s="10"/>
      <c r="L11" s="68">
        <v>10000</v>
      </c>
      <c r="M11" s="68">
        <v>4500</v>
      </c>
      <c r="N11" s="68">
        <v>3000</v>
      </c>
      <c r="O11" s="19"/>
      <c r="P11" s="20" t="s">
        <v>75</v>
      </c>
      <c r="Q11" s="10">
        <v>37000</v>
      </c>
      <c r="R11" s="11"/>
      <c r="S11" s="29" t="s">
        <v>40</v>
      </c>
      <c r="T11" s="71">
        <f>T9/7</f>
        <v>686042.857142857</v>
      </c>
      <c r="U11" s="24"/>
      <c r="V11" s="9">
        <v>5500</v>
      </c>
      <c r="W11" s="9">
        <v>6400</v>
      </c>
      <c r="X11" s="9">
        <v>10500</v>
      </c>
      <c r="Y11" s="9">
        <v>4800</v>
      </c>
      <c r="Z11" s="9">
        <v>6500</v>
      </c>
      <c r="AA11" s="9">
        <v>6000</v>
      </c>
      <c r="AB11" s="9">
        <v>10000</v>
      </c>
      <c r="AC11" s="11"/>
      <c r="AD11" s="68">
        <v>7000</v>
      </c>
      <c r="AE11" s="68">
        <v>18250</v>
      </c>
      <c r="AF11" s="68">
        <v>5000</v>
      </c>
      <c r="AG11" s="10"/>
      <c r="AH11" s="68">
        <v>16500</v>
      </c>
      <c r="AI11" s="68">
        <v>1000</v>
      </c>
      <c r="AJ11" s="68">
        <v>9000</v>
      </c>
      <c r="AK11" s="19"/>
      <c r="AL11" s="20" t="s">
        <v>31</v>
      </c>
      <c r="AM11" s="10">
        <v>25700</v>
      </c>
      <c r="AN11" s="11"/>
      <c r="AO11" s="29" t="s">
        <v>40</v>
      </c>
      <c r="AP11" s="71">
        <f>AP9/7</f>
        <v>624464.285714286</v>
      </c>
      <c r="AR11" s="9">
        <v>2500</v>
      </c>
      <c r="AS11" s="9">
        <v>7000</v>
      </c>
      <c r="AT11" s="9">
        <v>8500</v>
      </c>
      <c r="AU11" s="9">
        <v>13000</v>
      </c>
      <c r="AV11" s="9">
        <v>4000</v>
      </c>
      <c r="AW11" s="9">
        <v>6000</v>
      </c>
      <c r="AX11" s="9">
        <v>20000</v>
      </c>
      <c r="AY11" s="9">
        <v>3500</v>
      </c>
      <c r="AZ11" s="11"/>
      <c r="BA11" s="68">
        <v>7500</v>
      </c>
      <c r="BB11" s="68">
        <v>9520</v>
      </c>
      <c r="BC11" s="68">
        <v>1650</v>
      </c>
      <c r="BD11" s="10"/>
      <c r="BE11" s="68">
        <v>500</v>
      </c>
      <c r="BF11" s="68">
        <v>1200</v>
      </c>
      <c r="BG11" s="68">
        <v>43000</v>
      </c>
      <c r="BH11" s="19"/>
      <c r="BI11" s="20" t="s">
        <v>86</v>
      </c>
      <c r="BJ11" s="10">
        <v>150000</v>
      </c>
      <c r="BK11" s="11"/>
      <c r="BL11" s="29" t="s">
        <v>40</v>
      </c>
      <c r="BM11" s="71">
        <f>BM9/7</f>
        <v>765385.714285714</v>
      </c>
      <c r="BO11" s="9">
        <v>1500</v>
      </c>
      <c r="BP11" s="9">
        <v>800</v>
      </c>
      <c r="BQ11" s="9">
        <v>1500</v>
      </c>
      <c r="BR11" s="9">
        <v>500</v>
      </c>
      <c r="BS11" s="9">
        <v>6500</v>
      </c>
      <c r="BT11" s="9">
        <v>2000</v>
      </c>
      <c r="BU11" s="9">
        <v>2000</v>
      </c>
      <c r="BV11" s="11"/>
      <c r="BW11" s="68">
        <v>2880</v>
      </c>
      <c r="BX11" s="68">
        <v>8170</v>
      </c>
      <c r="BY11" s="10"/>
      <c r="BZ11" s="10">
        <v>4000</v>
      </c>
      <c r="CA11" s="10">
        <v>3000</v>
      </c>
      <c r="CB11" s="10">
        <v>3000</v>
      </c>
      <c r="CC11" s="19"/>
      <c r="CD11" s="20" t="s">
        <v>116</v>
      </c>
      <c r="CE11" s="10">
        <v>149000</v>
      </c>
      <c r="CF11" s="11"/>
      <c r="CG11" s="29" t="s">
        <v>40</v>
      </c>
      <c r="CH11" s="71">
        <f>CH9/7</f>
        <v>823951.428571429</v>
      </c>
      <c r="CJ11" s="9">
        <v>10000</v>
      </c>
      <c r="CK11" s="9">
        <v>4500</v>
      </c>
      <c r="CL11" s="9"/>
      <c r="CM11" s="9"/>
      <c r="CN11" s="9"/>
      <c r="CO11" s="9"/>
      <c r="CP11" s="9"/>
      <c r="CQ11" s="11"/>
      <c r="CR11" s="68">
        <v>4620</v>
      </c>
      <c r="CS11" s="10"/>
      <c r="CT11" s="10"/>
      <c r="CU11" s="68">
        <v>9000</v>
      </c>
      <c r="CV11" s="10"/>
      <c r="CW11" s="10"/>
      <c r="CX11" s="19"/>
      <c r="CY11" s="20"/>
      <c r="CZ11" s="10"/>
      <c r="DA11" s="11"/>
      <c r="DB11" s="29" t="s">
        <v>40</v>
      </c>
      <c r="DC11" s="71">
        <f>DC9/7</f>
        <v>158475.714285714</v>
      </c>
      <c r="DE11" s="43" t="s">
        <v>36</v>
      </c>
      <c r="DF11" s="61"/>
      <c r="DG11" s="62">
        <f>DG9-DG7</f>
        <v>4542416</v>
      </c>
      <c r="DH11" s="63"/>
    </row>
    <row r="12" ht="15" customHeight="1" spans="1:112">
      <c r="A12" s="9">
        <v>500</v>
      </c>
      <c r="B12" s="9">
        <v>7000</v>
      </c>
      <c r="C12" s="9">
        <v>30000</v>
      </c>
      <c r="D12" s="9">
        <v>12600</v>
      </c>
      <c r="E12" s="9">
        <v>8000</v>
      </c>
      <c r="F12" s="9">
        <v>8500</v>
      </c>
      <c r="G12" s="9">
        <v>17000</v>
      </c>
      <c r="H12" s="11"/>
      <c r="I12" s="68">
        <v>9610</v>
      </c>
      <c r="J12" s="68">
        <v>3360</v>
      </c>
      <c r="K12" s="10"/>
      <c r="L12" s="68">
        <v>40000</v>
      </c>
      <c r="M12" s="68">
        <v>2000</v>
      </c>
      <c r="N12" s="10"/>
      <c r="O12" s="19"/>
      <c r="P12" s="20" t="s">
        <v>72</v>
      </c>
      <c r="Q12" s="10">
        <v>93500</v>
      </c>
      <c r="R12" s="11"/>
      <c r="S12" s="24"/>
      <c r="T12" s="72"/>
      <c r="U12" s="24"/>
      <c r="V12" s="9">
        <v>1000</v>
      </c>
      <c r="W12" s="9">
        <v>2000</v>
      </c>
      <c r="X12" s="9">
        <v>5000</v>
      </c>
      <c r="Y12" s="9">
        <v>4000</v>
      </c>
      <c r="Z12" s="9">
        <v>2000</v>
      </c>
      <c r="AA12" s="9">
        <v>3000</v>
      </c>
      <c r="AB12" s="9">
        <v>5000</v>
      </c>
      <c r="AC12" s="11"/>
      <c r="AD12" s="68">
        <v>4500</v>
      </c>
      <c r="AE12" s="68">
        <v>4330</v>
      </c>
      <c r="AF12" s="68">
        <v>4500</v>
      </c>
      <c r="AG12" s="10"/>
      <c r="AH12" s="68">
        <v>89500</v>
      </c>
      <c r="AI12" s="68">
        <v>10500</v>
      </c>
      <c r="AJ12" s="68">
        <v>11530</v>
      </c>
      <c r="AK12" s="19"/>
      <c r="AL12" s="20" t="s">
        <v>34</v>
      </c>
      <c r="AM12" s="10">
        <v>80000</v>
      </c>
      <c r="AN12" s="11"/>
      <c r="AO12" s="24"/>
      <c r="AP12" s="72"/>
      <c r="AR12" s="9">
        <v>3000</v>
      </c>
      <c r="AS12" s="9">
        <v>3000</v>
      </c>
      <c r="AT12" s="9">
        <v>2300</v>
      </c>
      <c r="AU12" s="9">
        <v>10100</v>
      </c>
      <c r="AV12" s="9">
        <v>16000</v>
      </c>
      <c r="AW12" s="9">
        <v>5500</v>
      </c>
      <c r="AX12" s="9">
        <v>5500</v>
      </c>
      <c r="AY12" s="9">
        <v>4000</v>
      </c>
      <c r="AZ12" s="11"/>
      <c r="BA12" s="68">
        <v>3420</v>
      </c>
      <c r="BB12" s="68">
        <v>21140</v>
      </c>
      <c r="BC12" s="68">
        <v>5900</v>
      </c>
      <c r="BD12" s="10"/>
      <c r="BE12" s="68">
        <v>2500</v>
      </c>
      <c r="BF12" s="68">
        <v>9600</v>
      </c>
      <c r="BG12" s="68">
        <v>3500</v>
      </c>
      <c r="BH12" s="19"/>
      <c r="BI12" s="20" t="s">
        <v>28</v>
      </c>
      <c r="BJ12" s="10">
        <v>900000</v>
      </c>
      <c r="BK12" s="11"/>
      <c r="BL12" s="72">
        <v>327000</v>
      </c>
      <c r="BM12" s="72">
        <v>43000</v>
      </c>
      <c r="BO12" s="9">
        <v>5000</v>
      </c>
      <c r="BP12" s="9">
        <v>1000</v>
      </c>
      <c r="BQ12" s="9">
        <v>38000</v>
      </c>
      <c r="BR12" s="9">
        <v>1500</v>
      </c>
      <c r="BS12" s="9">
        <v>6500</v>
      </c>
      <c r="BT12" s="9">
        <v>3300</v>
      </c>
      <c r="BU12" s="9">
        <v>4500</v>
      </c>
      <c r="BV12" s="11"/>
      <c r="BW12" s="68">
        <v>24980</v>
      </c>
      <c r="BX12" s="68">
        <v>9000</v>
      </c>
      <c r="BY12" s="10"/>
      <c r="BZ12" s="10">
        <v>12400</v>
      </c>
      <c r="CA12" s="10">
        <v>2400</v>
      </c>
      <c r="CB12" s="10">
        <v>12500</v>
      </c>
      <c r="CC12" s="19"/>
      <c r="CD12" s="20" t="s">
        <v>101</v>
      </c>
      <c r="CE12" s="10">
        <v>111000</v>
      </c>
      <c r="CF12" s="11"/>
      <c r="CG12" s="24"/>
      <c r="CH12" s="72"/>
      <c r="CI12" s="24"/>
      <c r="CJ12" s="9">
        <v>800</v>
      </c>
      <c r="CK12" s="9">
        <v>10000</v>
      </c>
      <c r="CL12" s="9"/>
      <c r="CM12" s="9"/>
      <c r="CN12" s="9"/>
      <c r="CO12" s="9"/>
      <c r="CP12" s="9"/>
      <c r="CQ12" s="11"/>
      <c r="CR12" s="68">
        <v>4620</v>
      </c>
      <c r="CS12" s="10"/>
      <c r="CT12" s="10"/>
      <c r="CU12" s="68">
        <v>7500</v>
      </c>
      <c r="CV12" s="10"/>
      <c r="CW12" s="10"/>
      <c r="CX12" s="19"/>
      <c r="CY12" s="20"/>
      <c r="CZ12" s="10"/>
      <c r="DA12" s="11"/>
      <c r="DB12" s="24"/>
      <c r="DC12" s="72"/>
      <c r="DE12" s="44"/>
      <c r="DF12" s="64"/>
      <c r="DG12" s="65"/>
      <c r="DH12" s="66"/>
    </row>
    <row r="13" spans="1:107">
      <c r="A13" s="9">
        <v>500</v>
      </c>
      <c r="B13" s="9">
        <v>1600</v>
      </c>
      <c r="C13" s="9">
        <v>6000</v>
      </c>
      <c r="D13" s="9">
        <v>7300</v>
      </c>
      <c r="E13" s="9">
        <v>8200</v>
      </c>
      <c r="F13" s="9">
        <v>3000</v>
      </c>
      <c r="G13" s="9">
        <v>9000</v>
      </c>
      <c r="H13" s="11"/>
      <c r="I13" s="68">
        <v>2000</v>
      </c>
      <c r="J13" s="68">
        <v>16330</v>
      </c>
      <c r="K13" s="10"/>
      <c r="L13" s="68">
        <v>8500</v>
      </c>
      <c r="M13" s="68">
        <v>2500</v>
      </c>
      <c r="N13" s="10"/>
      <c r="O13" s="19"/>
      <c r="P13" s="20" t="s">
        <v>145</v>
      </c>
      <c r="Q13" s="10">
        <v>235000</v>
      </c>
      <c r="R13" s="11"/>
      <c r="S13" s="24"/>
      <c r="T13" s="72">
        <v>37000</v>
      </c>
      <c r="U13" s="24"/>
      <c r="V13" s="9">
        <v>7000</v>
      </c>
      <c r="W13" s="9">
        <v>24000</v>
      </c>
      <c r="X13" s="9">
        <v>66000</v>
      </c>
      <c r="Y13" s="9">
        <v>10000</v>
      </c>
      <c r="Z13" s="9">
        <v>2500</v>
      </c>
      <c r="AA13" s="9">
        <v>2000</v>
      </c>
      <c r="AB13" s="9">
        <v>37400</v>
      </c>
      <c r="AC13" s="11"/>
      <c r="AD13" s="68">
        <v>17000</v>
      </c>
      <c r="AE13" s="68">
        <v>4000</v>
      </c>
      <c r="AF13" s="68">
        <v>10300</v>
      </c>
      <c r="AG13" s="10"/>
      <c r="AH13" s="68">
        <v>25000</v>
      </c>
      <c r="AI13" s="68">
        <v>6000</v>
      </c>
      <c r="AJ13" s="68">
        <v>1000</v>
      </c>
      <c r="AK13" s="19"/>
      <c r="AL13" s="20" t="s">
        <v>56</v>
      </c>
      <c r="AM13" s="10">
        <v>204000</v>
      </c>
      <c r="AN13" s="11"/>
      <c r="AO13" s="24"/>
      <c r="AP13" s="72"/>
      <c r="AR13" s="9">
        <v>8500</v>
      </c>
      <c r="AS13" s="9">
        <v>3000</v>
      </c>
      <c r="AT13" s="9">
        <v>2300</v>
      </c>
      <c r="AU13" s="9">
        <v>200</v>
      </c>
      <c r="AV13" s="9">
        <v>4500</v>
      </c>
      <c r="AW13" s="9">
        <v>2000</v>
      </c>
      <c r="AX13" s="9">
        <v>2000</v>
      </c>
      <c r="AY13" s="9">
        <v>9500</v>
      </c>
      <c r="AZ13" s="11"/>
      <c r="BA13" s="68">
        <v>7000</v>
      </c>
      <c r="BB13" s="68">
        <v>18500</v>
      </c>
      <c r="BC13" s="68">
        <v>4500</v>
      </c>
      <c r="BD13" s="10"/>
      <c r="BE13" s="68">
        <v>3800</v>
      </c>
      <c r="BF13" s="68">
        <v>2800</v>
      </c>
      <c r="BG13" s="68">
        <v>43000</v>
      </c>
      <c r="BH13" s="19"/>
      <c r="BI13" s="20" t="s">
        <v>28</v>
      </c>
      <c r="BJ13" s="10">
        <v>242945</v>
      </c>
      <c r="BK13" s="11"/>
      <c r="BL13" s="72">
        <v>242945</v>
      </c>
      <c r="BM13" s="72">
        <v>87000</v>
      </c>
      <c r="BO13" s="9">
        <v>3400</v>
      </c>
      <c r="BP13" s="9">
        <v>12000</v>
      </c>
      <c r="BQ13" s="9">
        <v>16000</v>
      </c>
      <c r="BR13" s="9">
        <v>23000</v>
      </c>
      <c r="BS13" s="9">
        <v>4500</v>
      </c>
      <c r="BT13" s="9">
        <v>1000</v>
      </c>
      <c r="BU13" s="9">
        <v>3200</v>
      </c>
      <c r="BV13" s="11"/>
      <c r="BW13" s="68">
        <v>5770</v>
      </c>
      <c r="BX13" s="68">
        <v>31640</v>
      </c>
      <c r="BY13" s="10"/>
      <c r="BZ13" s="10">
        <v>150000</v>
      </c>
      <c r="CA13" s="10">
        <v>2000</v>
      </c>
      <c r="CB13" s="10">
        <v>6800</v>
      </c>
      <c r="CC13" s="19"/>
      <c r="CD13" s="20" t="s">
        <v>52</v>
      </c>
      <c r="CE13" s="10">
        <v>73000</v>
      </c>
      <c r="CF13" s="11"/>
      <c r="CG13" s="24"/>
      <c r="CH13" s="72"/>
      <c r="CI13" s="31"/>
      <c r="CJ13" s="9">
        <v>2500</v>
      </c>
      <c r="CK13" s="9">
        <v>20000</v>
      </c>
      <c r="CL13" s="9"/>
      <c r="CM13" s="9"/>
      <c r="CN13" s="9"/>
      <c r="CO13" s="9"/>
      <c r="CP13" s="9"/>
      <c r="CQ13" s="11"/>
      <c r="CR13" s="68">
        <v>9500</v>
      </c>
      <c r="CS13" s="10"/>
      <c r="CT13" s="10"/>
      <c r="CU13" s="68">
        <v>14000</v>
      </c>
      <c r="CV13" s="10"/>
      <c r="CW13" s="10"/>
      <c r="CX13" s="19"/>
      <c r="CY13" s="20"/>
      <c r="CZ13" s="10"/>
      <c r="DA13" s="11"/>
      <c r="DB13" s="24"/>
      <c r="DC13" s="72"/>
    </row>
    <row r="14" spans="1:107">
      <c r="A14" s="9">
        <v>2500</v>
      </c>
      <c r="B14" s="9">
        <v>28000</v>
      </c>
      <c r="C14" s="9">
        <v>1500</v>
      </c>
      <c r="D14" s="9">
        <v>17000</v>
      </c>
      <c r="E14" s="9">
        <v>1500</v>
      </c>
      <c r="F14" s="9">
        <v>1500</v>
      </c>
      <c r="G14" s="9">
        <v>3000</v>
      </c>
      <c r="H14" s="11"/>
      <c r="I14" s="68">
        <v>76220</v>
      </c>
      <c r="J14" s="68">
        <v>11180</v>
      </c>
      <c r="K14" s="10"/>
      <c r="L14" s="68">
        <v>54500</v>
      </c>
      <c r="M14" s="68">
        <v>4500</v>
      </c>
      <c r="N14" s="10"/>
      <c r="O14" s="19"/>
      <c r="P14" s="20" t="s">
        <v>146</v>
      </c>
      <c r="Q14" s="10">
        <v>76400</v>
      </c>
      <c r="R14" s="11"/>
      <c r="S14" s="24"/>
      <c r="T14" s="72">
        <v>223110</v>
      </c>
      <c r="U14" s="24"/>
      <c r="V14" s="9">
        <v>5000</v>
      </c>
      <c r="W14" s="9">
        <v>20000</v>
      </c>
      <c r="X14" s="9">
        <v>2000</v>
      </c>
      <c r="Y14" s="9">
        <v>1800</v>
      </c>
      <c r="Z14" s="9">
        <v>13000</v>
      </c>
      <c r="AA14" s="9">
        <v>11000</v>
      </c>
      <c r="AB14" s="9">
        <v>3500</v>
      </c>
      <c r="AC14" s="11"/>
      <c r="AD14" s="68">
        <v>46500</v>
      </c>
      <c r="AE14" s="68">
        <v>4230</v>
      </c>
      <c r="AF14" s="68">
        <v>10300</v>
      </c>
      <c r="AG14" s="10"/>
      <c r="AH14" s="68">
        <v>4500</v>
      </c>
      <c r="AI14" s="68">
        <v>5500</v>
      </c>
      <c r="AJ14" s="68">
        <v>3500</v>
      </c>
      <c r="AK14" s="19"/>
      <c r="AL14" s="20" t="s">
        <v>88</v>
      </c>
      <c r="AM14" s="10">
        <v>42400</v>
      </c>
      <c r="AN14" s="11"/>
      <c r="AO14" s="24"/>
      <c r="AP14" s="72">
        <v>180000</v>
      </c>
      <c r="AR14" s="9">
        <v>4000</v>
      </c>
      <c r="AS14" s="9">
        <v>13000</v>
      </c>
      <c r="AT14" s="9">
        <v>5000</v>
      </c>
      <c r="AU14" s="9">
        <v>5500</v>
      </c>
      <c r="AV14" s="9">
        <v>63500</v>
      </c>
      <c r="AW14" s="9">
        <v>3500</v>
      </c>
      <c r="AX14" s="9">
        <v>2000</v>
      </c>
      <c r="AY14" s="9">
        <v>38500</v>
      </c>
      <c r="AZ14" s="11"/>
      <c r="BA14" s="68">
        <v>4320</v>
      </c>
      <c r="BB14" s="68">
        <v>13400</v>
      </c>
      <c r="BC14" s="68">
        <v>8000</v>
      </c>
      <c r="BD14" s="10"/>
      <c r="BE14" s="68">
        <v>4500</v>
      </c>
      <c r="BF14" s="68">
        <v>3000</v>
      </c>
      <c r="BG14" s="68">
        <v>15000</v>
      </c>
      <c r="BH14" s="19"/>
      <c r="BI14" s="20" t="s">
        <v>130</v>
      </c>
      <c r="BJ14" s="10">
        <v>25900</v>
      </c>
      <c r="BK14" s="11"/>
      <c r="BL14" s="72">
        <v>250000</v>
      </c>
      <c r="BM14" s="72">
        <v>389000</v>
      </c>
      <c r="BO14" s="9">
        <v>1200</v>
      </c>
      <c r="BP14" s="9">
        <v>16500</v>
      </c>
      <c r="BQ14" s="9">
        <v>3000</v>
      </c>
      <c r="BR14" s="9">
        <v>40000</v>
      </c>
      <c r="BS14" s="9">
        <v>5000</v>
      </c>
      <c r="BT14" s="9">
        <v>11000</v>
      </c>
      <c r="BU14" s="9">
        <v>3000</v>
      </c>
      <c r="BV14" s="11"/>
      <c r="BW14" s="68">
        <v>24020</v>
      </c>
      <c r="BX14" s="68">
        <v>1400</v>
      </c>
      <c r="BY14" s="10"/>
      <c r="BZ14" s="10">
        <v>5000</v>
      </c>
      <c r="CA14" s="10">
        <v>11500</v>
      </c>
      <c r="CB14" s="10">
        <v>20000</v>
      </c>
      <c r="CC14" s="19"/>
      <c r="CD14" s="20" t="s">
        <v>31</v>
      </c>
      <c r="CE14" s="10">
        <v>11700</v>
      </c>
      <c r="CF14" s="11"/>
      <c r="CG14" s="24"/>
      <c r="CH14" s="72">
        <v>350000</v>
      </c>
      <c r="CI14" s="24"/>
      <c r="CJ14" s="9">
        <v>11000</v>
      </c>
      <c r="CK14" s="9">
        <v>4500</v>
      </c>
      <c r="CL14" s="9"/>
      <c r="CM14" s="9"/>
      <c r="CN14" s="9"/>
      <c r="CO14" s="9"/>
      <c r="CP14" s="9"/>
      <c r="CQ14" s="11"/>
      <c r="CR14" s="68">
        <v>49960</v>
      </c>
      <c r="CS14" s="10"/>
      <c r="CT14" s="10"/>
      <c r="CU14" s="68">
        <v>16000</v>
      </c>
      <c r="CV14" s="10"/>
      <c r="CW14" s="10"/>
      <c r="CX14" s="19"/>
      <c r="CY14" s="20"/>
      <c r="CZ14" s="10"/>
      <c r="DA14" s="11"/>
      <c r="DB14" s="24"/>
      <c r="DC14" s="72"/>
    </row>
    <row r="15" ht="15.75" customHeight="1" spans="1:107">
      <c r="A15" s="9">
        <v>2500</v>
      </c>
      <c r="B15" s="9">
        <v>25000</v>
      </c>
      <c r="C15" s="9">
        <v>2500</v>
      </c>
      <c r="D15" s="9">
        <v>3000</v>
      </c>
      <c r="E15" s="9">
        <v>2000</v>
      </c>
      <c r="F15" s="9">
        <v>5500</v>
      </c>
      <c r="G15" s="9">
        <v>4000</v>
      </c>
      <c r="H15" s="11"/>
      <c r="I15" s="68">
        <v>8650</v>
      </c>
      <c r="J15" s="68">
        <v>17490</v>
      </c>
      <c r="K15" s="10"/>
      <c r="L15" s="68">
        <v>41700</v>
      </c>
      <c r="M15" s="68">
        <v>64500</v>
      </c>
      <c r="N15" s="10"/>
      <c r="O15" s="19"/>
      <c r="P15" s="20" t="s">
        <v>8</v>
      </c>
      <c r="Q15" s="10">
        <v>447330</v>
      </c>
      <c r="R15" s="11"/>
      <c r="S15" s="32" t="s">
        <v>50</v>
      </c>
      <c r="T15" s="33"/>
      <c r="U15" s="24"/>
      <c r="V15" s="9">
        <v>12000</v>
      </c>
      <c r="W15" s="9">
        <v>20000</v>
      </c>
      <c r="X15" s="9">
        <v>14000</v>
      </c>
      <c r="Y15" s="9">
        <v>4000</v>
      </c>
      <c r="Z15" s="9">
        <v>2400</v>
      </c>
      <c r="AA15" s="9">
        <v>2000</v>
      </c>
      <c r="AB15" s="9">
        <v>10500</v>
      </c>
      <c r="AC15" s="11"/>
      <c r="AD15" s="68">
        <v>15000</v>
      </c>
      <c r="AE15" s="68">
        <v>4500</v>
      </c>
      <c r="AF15" s="68">
        <v>11500</v>
      </c>
      <c r="AG15" s="10"/>
      <c r="AH15" s="68">
        <v>4000</v>
      </c>
      <c r="AI15" s="68">
        <v>2500</v>
      </c>
      <c r="AJ15" s="68">
        <v>40000</v>
      </c>
      <c r="AK15" s="19"/>
      <c r="AL15" s="20"/>
      <c r="AM15" s="10"/>
      <c r="AN15" s="11"/>
      <c r="AO15" s="32" t="s">
        <v>50</v>
      </c>
      <c r="AP15" s="33">
        <v>397990</v>
      </c>
      <c r="AR15" s="9">
        <v>2000</v>
      </c>
      <c r="AS15" s="9">
        <v>3500</v>
      </c>
      <c r="AT15" s="9">
        <v>900</v>
      </c>
      <c r="AU15" s="9">
        <v>1500</v>
      </c>
      <c r="AV15" s="9">
        <v>3500</v>
      </c>
      <c r="AW15" s="9">
        <v>1400</v>
      </c>
      <c r="AX15" s="9">
        <v>24000</v>
      </c>
      <c r="AY15" s="9"/>
      <c r="AZ15" s="11"/>
      <c r="BA15" s="68">
        <v>16000</v>
      </c>
      <c r="BB15" s="68">
        <v>4430</v>
      </c>
      <c r="BC15" s="68">
        <v>4500</v>
      </c>
      <c r="BD15" s="10"/>
      <c r="BE15" s="68">
        <v>34500</v>
      </c>
      <c r="BF15" s="68">
        <v>23000</v>
      </c>
      <c r="BG15" s="68">
        <v>2400</v>
      </c>
      <c r="BH15" s="19"/>
      <c r="BI15" s="20" t="s">
        <v>19</v>
      </c>
      <c r="BJ15" s="10">
        <v>288550</v>
      </c>
      <c r="BK15" s="11"/>
      <c r="BL15" s="32" t="s">
        <v>50</v>
      </c>
      <c r="BM15" s="33">
        <v>1069760</v>
      </c>
      <c r="BO15" s="9">
        <v>22000</v>
      </c>
      <c r="BP15" s="9">
        <v>2100</v>
      </c>
      <c r="BQ15" s="9">
        <v>5000</v>
      </c>
      <c r="BR15" s="9">
        <v>3000</v>
      </c>
      <c r="BS15" s="9">
        <v>6500</v>
      </c>
      <c r="BT15" s="9">
        <v>4000</v>
      </c>
      <c r="BU15" s="9">
        <v>14100</v>
      </c>
      <c r="BV15" s="11"/>
      <c r="BW15" s="68">
        <v>11090</v>
      </c>
      <c r="BX15" s="68">
        <v>4500</v>
      </c>
      <c r="BY15" s="10"/>
      <c r="BZ15" s="10">
        <v>12000</v>
      </c>
      <c r="CA15" s="10">
        <v>300</v>
      </c>
      <c r="CB15" s="10">
        <v>25000</v>
      </c>
      <c r="CC15" s="19"/>
      <c r="CD15" s="20" t="s">
        <v>37</v>
      </c>
      <c r="CE15" s="10">
        <v>402700</v>
      </c>
      <c r="CF15" s="11"/>
      <c r="CG15" s="32" t="s">
        <v>50</v>
      </c>
      <c r="CH15" s="33">
        <v>733525</v>
      </c>
      <c r="CI15" s="24"/>
      <c r="CJ15" s="9">
        <v>13000</v>
      </c>
      <c r="CK15" s="9">
        <v>1500</v>
      </c>
      <c r="CL15" s="9"/>
      <c r="CM15" s="9"/>
      <c r="CN15" s="9"/>
      <c r="CO15" s="9"/>
      <c r="CP15" s="9"/>
      <c r="CQ15" s="11"/>
      <c r="CR15" s="68">
        <v>77750</v>
      </c>
      <c r="CS15" s="10"/>
      <c r="CT15" s="10"/>
      <c r="CU15" s="68">
        <v>13000</v>
      </c>
      <c r="CV15" s="10"/>
      <c r="CW15" s="10"/>
      <c r="CX15" s="19"/>
      <c r="CY15" s="20"/>
      <c r="CZ15" s="10"/>
      <c r="DA15" s="11"/>
      <c r="DB15" s="32" t="s">
        <v>50</v>
      </c>
      <c r="DC15" s="33">
        <v>1499335</v>
      </c>
    </row>
    <row r="16" ht="15" customHeight="1" spans="1:107">
      <c r="A16" s="9">
        <v>3000</v>
      </c>
      <c r="B16" s="9">
        <v>5000</v>
      </c>
      <c r="C16" s="9">
        <v>4500</v>
      </c>
      <c r="D16" s="9">
        <v>6500</v>
      </c>
      <c r="E16" s="9">
        <v>3500</v>
      </c>
      <c r="F16" s="9">
        <v>10000</v>
      </c>
      <c r="G16" s="9">
        <v>500</v>
      </c>
      <c r="H16" s="11"/>
      <c r="I16" s="68">
        <v>7000</v>
      </c>
      <c r="J16" s="68">
        <v>3360</v>
      </c>
      <c r="K16" s="10"/>
      <c r="L16" s="68">
        <v>2750</v>
      </c>
      <c r="M16" s="68">
        <v>17000</v>
      </c>
      <c r="N16" s="10"/>
      <c r="O16" s="21"/>
      <c r="P16" s="20" t="s">
        <v>10</v>
      </c>
      <c r="Q16" s="10">
        <v>40000</v>
      </c>
      <c r="R16" s="11"/>
      <c r="S16" s="32" t="s">
        <v>53</v>
      </c>
      <c r="T16" s="33"/>
      <c r="U16" s="24"/>
      <c r="V16" s="9">
        <v>1500</v>
      </c>
      <c r="W16" s="9">
        <v>600</v>
      </c>
      <c r="X16" s="9">
        <v>4500</v>
      </c>
      <c r="Y16" s="9">
        <v>12000</v>
      </c>
      <c r="Z16" s="9">
        <v>1000</v>
      </c>
      <c r="AA16" s="9">
        <v>1800</v>
      </c>
      <c r="AB16" s="9">
        <v>3500</v>
      </c>
      <c r="AC16" s="11"/>
      <c r="AD16" s="68">
        <v>2000</v>
      </c>
      <c r="AE16" s="68">
        <v>12000</v>
      </c>
      <c r="AF16" s="68">
        <v>37300</v>
      </c>
      <c r="AG16" s="10"/>
      <c r="AH16" s="68">
        <v>11000</v>
      </c>
      <c r="AI16" s="68">
        <v>6000</v>
      </c>
      <c r="AJ16" s="10"/>
      <c r="AK16" s="21"/>
      <c r="AL16" s="20"/>
      <c r="AM16" s="10"/>
      <c r="AN16" s="11"/>
      <c r="AO16" s="32" t="s">
        <v>53</v>
      </c>
      <c r="AP16" s="33"/>
      <c r="AR16" s="9">
        <v>2300</v>
      </c>
      <c r="AS16" s="9">
        <v>6500</v>
      </c>
      <c r="AT16" s="9">
        <v>7500</v>
      </c>
      <c r="AU16" s="9">
        <v>88000</v>
      </c>
      <c r="AV16" s="9">
        <v>8000</v>
      </c>
      <c r="AW16" s="9">
        <v>1000</v>
      </c>
      <c r="AX16" s="9">
        <v>5000</v>
      </c>
      <c r="AY16" s="9"/>
      <c r="AZ16" s="11"/>
      <c r="BA16" s="68">
        <v>3270</v>
      </c>
      <c r="BB16" s="68">
        <v>3840</v>
      </c>
      <c r="BC16" s="68">
        <v>14410</v>
      </c>
      <c r="BD16" s="10"/>
      <c r="BE16" s="68">
        <v>3000</v>
      </c>
      <c r="BF16" s="68">
        <v>7500</v>
      </c>
      <c r="BG16" s="68">
        <v>64000</v>
      </c>
      <c r="BH16" s="21"/>
      <c r="BI16" s="20" t="s">
        <v>147</v>
      </c>
      <c r="BJ16" s="10">
        <v>353000</v>
      </c>
      <c r="BK16" s="11"/>
      <c r="BL16" s="32" t="s">
        <v>53</v>
      </c>
      <c r="BM16" s="33">
        <v>327000</v>
      </c>
      <c r="BO16" s="9">
        <v>6600</v>
      </c>
      <c r="BP16" s="9">
        <v>23000</v>
      </c>
      <c r="BQ16" s="9">
        <v>26000</v>
      </c>
      <c r="BR16" s="9">
        <v>14500</v>
      </c>
      <c r="BS16" s="9">
        <v>8000</v>
      </c>
      <c r="BT16" s="9">
        <v>9000</v>
      </c>
      <c r="BU16" s="9">
        <v>4500</v>
      </c>
      <c r="BV16" s="11"/>
      <c r="BW16" s="68">
        <v>580</v>
      </c>
      <c r="BX16" s="68">
        <v>7690</v>
      </c>
      <c r="BY16" s="10"/>
      <c r="BZ16" s="10">
        <v>2000</v>
      </c>
      <c r="CA16" s="10">
        <v>5000</v>
      </c>
      <c r="CB16" s="10">
        <v>44000</v>
      </c>
      <c r="CC16" s="21"/>
      <c r="CD16" s="20" t="s">
        <v>100</v>
      </c>
      <c r="CE16" s="10">
        <v>193400</v>
      </c>
      <c r="CF16" s="11"/>
      <c r="CG16" s="32" t="s">
        <v>53</v>
      </c>
      <c r="CH16" s="33">
        <v>350000</v>
      </c>
      <c r="CI16" s="31"/>
      <c r="CJ16" s="9">
        <v>1000</v>
      </c>
      <c r="CK16" s="9">
        <v>2000</v>
      </c>
      <c r="CL16" s="9"/>
      <c r="CM16" s="9"/>
      <c r="CN16" s="9"/>
      <c r="CO16" s="9"/>
      <c r="CP16" s="9"/>
      <c r="CQ16" s="11"/>
      <c r="CR16" s="68">
        <v>53590</v>
      </c>
      <c r="CS16" s="10"/>
      <c r="CT16" s="10"/>
      <c r="CU16" s="68">
        <v>8400</v>
      </c>
      <c r="CV16" s="10"/>
      <c r="CW16" s="10"/>
      <c r="CX16" s="21"/>
      <c r="CY16" s="20"/>
      <c r="CZ16" s="10"/>
      <c r="DA16" s="11"/>
      <c r="DB16" s="32" t="s">
        <v>53</v>
      </c>
      <c r="DC16" s="33"/>
    </row>
    <row r="17" ht="15.75" customHeight="1" spans="1:107">
      <c r="A17" s="9">
        <v>60000</v>
      </c>
      <c r="B17" s="9">
        <v>6000</v>
      </c>
      <c r="C17" s="9">
        <v>9600</v>
      </c>
      <c r="D17" s="9">
        <v>2000</v>
      </c>
      <c r="E17" s="9">
        <v>8500</v>
      </c>
      <c r="F17" s="9">
        <v>2000</v>
      </c>
      <c r="G17" s="9">
        <v>4500</v>
      </c>
      <c r="H17" s="11"/>
      <c r="I17" s="68">
        <v>10000</v>
      </c>
      <c r="J17" s="68">
        <v>3500</v>
      </c>
      <c r="K17" s="10"/>
      <c r="L17" s="68">
        <v>4000</v>
      </c>
      <c r="M17" s="68">
        <v>3500</v>
      </c>
      <c r="N17" s="10"/>
      <c r="O17" s="21"/>
      <c r="P17" s="20" t="s">
        <v>11</v>
      </c>
      <c r="Q17" s="10">
        <v>164320</v>
      </c>
      <c r="R17" s="11"/>
      <c r="S17" s="24"/>
      <c r="T17" s="72">
        <v>487770</v>
      </c>
      <c r="U17" s="24"/>
      <c r="V17" s="9">
        <v>1500</v>
      </c>
      <c r="W17" s="9">
        <v>6000</v>
      </c>
      <c r="X17" s="9">
        <v>500</v>
      </c>
      <c r="Y17" s="9">
        <v>1000</v>
      </c>
      <c r="Z17" s="9">
        <v>2000</v>
      </c>
      <c r="AA17" s="9">
        <v>4500</v>
      </c>
      <c r="AB17" s="9">
        <v>9000</v>
      </c>
      <c r="AC17" s="11"/>
      <c r="AD17" s="68">
        <v>5000</v>
      </c>
      <c r="AE17" s="68">
        <v>6000</v>
      </c>
      <c r="AF17" s="68">
        <v>1000</v>
      </c>
      <c r="AG17" s="10"/>
      <c r="AH17" s="68">
        <v>21000</v>
      </c>
      <c r="AI17" s="68">
        <v>1000</v>
      </c>
      <c r="AJ17" s="10"/>
      <c r="AK17" s="21"/>
      <c r="AL17" s="20"/>
      <c r="AM17" s="10"/>
      <c r="AN17" s="11"/>
      <c r="AO17" s="24"/>
      <c r="AP17" s="72">
        <v>1473550</v>
      </c>
      <c r="AR17" s="9">
        <v>12500</v>
      </c>
      <c r="AS17" s="9">
        <v>30000</v>
      </c>
      <c r="AT17" s="9">
        <v>3200</v>
      </c>
      <c r="AU17" s="9">
        <v>2000</v>
      </c>
      <c r="AV17" s="9">
        <v>3500</v>
      </c>
      <c r="AW17" s="9">
        <v>6500</v>
      </c>
      <c r="AX17" s="9">
        <v>15000</v>
      </c>
      <c r="AY17" s="9"/>
      <c r="AZ17" s="11"/>
      <c r="BA17" s="68">
        <v>8170</v>
      </c>
      <c r="BB17" s="68">
        <v>3840</v>
      </c>
      <c r="BC17" s="68">
        <v>4000</v>
      </c>
      <c r="BD17" s="10"/>
      <c r="BE17" s="68">
        <v>20000</v>
      </c>
      <c r="BF17" s="68">
        <v>12000</v>
      </c>
      <c r="BG17" s="68">
        <v>1500</v>
      </c>
      <c r="BH17" s="21"/>
      <c r="BI17" s="20" t="s">
        <v>31</v>
      </c>
      <c r="BJ17" s="10">
        <v>46600</v>
      </c>
      <c r="BK17" s="11"/>
      <c r="BL17" s="24"/>
      <c r="BM17" s="72">
        <v>1246920</v>
      </c>
      <c r="BO17" s="9">
        <v>20700</v>
      </c>
      <c r="BP17" s="9">
        <v>8500</v>
      </c>
      <c r="BQ17" s="9">
        <v>30000</v>
      </c>
      <c r="BR17" s="9">
        <v>24500</v>
      </c>
      <c r="BS17" s="9">
        <v>3000</v>
      </c>
      <c r="BT17" s="9">
        <v>17000</v>
      </c>
      <c r="BU17" s="9">
        <v>8000</v>
      </c>
      <c r="BV17" s="11"/>
      <c r="BW17" s="68">
        <v>2400</v>
      </c>
      <c r="BX17" s="68">
        <v>12010</v>
      </c>
      <c r="BY17" s="10"/>
      <c r="BZ17" s="10">
        <v>49000</v>
      </c>
      <c r="CA17" s="10">
        <v>2300</v>
      </c>
      <c r="CB17" s="10">
        <v>13600</v>
      </c>
      <c r="CC17" s="21"/>
      <c r="CD17" s="20" t="s">
        <v>11</v>
      </c>
      <c r="CE17" s="10">
        <v>110500</v>
      </c>
      <c r="CF17" s="11"/>
      <c r="CG17" s="24"/>
      <c r="CH17" s="72">
        <v>1204720</v>
      </c>
      <c r="CI17" s="31"/>
      <c r="CJ17" s="9">
        <v>3000</v>
      </c>
      <c r="CK17" s="9">
        <v>1500</v>
      </c>
      <c r="CL17" s="9"/>
      <c r="CM17" s="9"/>
      <c r="CN17" s="9"/>
      <c r="CO17" s="9"/>
      <c r="CP17" s="9"/>
      <c r="CQ17" s="11"/>
      <c r="CR17" s="68">
        <v>32470</v>
      </c>
      <c r="CS17" s="10"/>
      <c r="CT17" s="10"/>
      <c r="CU17" s="68">
        <v>5000</v>
      </c>
      <c r="CV17" s="10"/>
      <c r="CW17" s="10"/>
      <c r="CX17" s="21"/>
      <c r="CY17" s="20"/>
      <c r="CZ17" s="10"/>
      <c r="DA17" s="11"/>
      <c r="DB17" s="24"/>
      <c r="DC17" s="72">
        <v>524170</v>
      </c>
    </row>
    <row r="18" ht="15.75" customHeight="1" spans="1:107">
      <c r="A18" s="9">
        <v>1500</v>
      </c>
      <c r="B18" s="9">
        <v>4900</v>
      </c>
      <c r="C18" s="9">
        <v>3500</v>
      </c>
      <c r="D18" s="9">
        <v>5000</v>
      </c>
      <c r="E18" s="9">
        <v>700</v>
      </c>
      <c r="F18" s="9">
        <v>7500</v>
      </c>
      <c r="G18" s="9">
        <v>9000</v>
      </c>
      <c r="H18" s="11"/>
      <c r="I18" s="68">
        <v>11050</v>
      </c>
      <c r="J18" s="68">
        <v>46000</v>
      </c>
      <c r="K18" s="10"/>
      <c r="L18" s="68">
        <v>6500</v>
      </c>
      <c r="M18" s="68">
        <v>13500</v>
      </c>
      <c r="N18" s="10"/>
      <c r="O18" s="21"/>
      <c r="P18" s="20" t="s">
        <v>148</v>
      </c>
      <c r="Q18" s="10">
        <v>21500</v>
      </c>
      <c r="R18" s="11"/>
      <c r="T18" s="72">
        <v>270000</v>
      </c>
      <c r="U18" s="24"/>
      <c r="V18" s="9">
        <v>4000</v>
      </c>
      <c r="W18" s="9">
        <v>20000</v>
      </c>
      <c r="X18" s="9">
        <v>16000</v>
      </c>
      <c r="Y18" s="9">
        <v>2000</v>
      </c>
      <c r="Z18" s="9">
        <v>3800</v>
      </c>
      <c r="AA18" s="9">
        <v>18000</v>
      </c>
      <c r="AB18" s="9">
        <v>2000</v>
      </c>
      <c r="AC18" s="11"/>
      <c r="AD18" s="68">
        <v>2000</v>
      </c>
      <c r="AE18" s="68">
        <v>3000</v>
      </c>
      <c r="AF18" s="68">
        <v>16000</v>
      </c>
      <c r="AG18" s="10"/>
      <c r="AH18" s="68">
        <v>4500</v>
      </c>
      <c r="AI18" s="68">
        <v>3500</v>
      </c>
      <c r="AJ18" s="10"/>
      <c r="AK18" s="21"/>
      <c r="AL18" s="20"/>
      <c r="AM18" s="10"/>
      <c r="AN18" s="11"/>
      <c r="AP18" s="72">
        <v>348600</v>
      </c>
      <c r="AR18" s="9">
        <v>8000</v>
      </c>
      <c r="AS18" s="9">
        <v>10000</v>
      </c>
      <c r="AT18" s="9">
        <v>10500</v>
      </c>
      <c r="AU18" s="9">
        <v>9000</v>
      </c>
      <c r="AV18" s="9">
        <v>20000</v>
      </c>
      <c r="AW18" s="9">
        <v>7500</v>
      </c>
      <c r="AX18" s="9">
        <v>5000</v>
      </c>
      <c r="AY18" s="9"/>
      <c r="AZ18" s="11"/>
      <c r="BA18" s="68">
        <v>11000</v>
      </c>
      <c r="BB18" s="68">
        <v>550</v>
      </c>
      <c r="BC18" s="68">
        <v>25400</v>
      </c>
      <c r="BD18" s="10"/>
      <c r="BE18" s="68">
        <v>2500</v>
      </c>
      <c r="BF18" s="68">
        <v>16400</v>
      </c>
      <c r="BG18" s="68">
        <v>4000</v>
      </c>
      <c r="BH18" s="21"/>
      <c r="BI18" s="20"/>
      <c r="BJ18" s="10"/>
      <c r="BK18" s="11"/>
      <c r="BM18" s="72">
        <v>190350</v>
      </c>
      <c r="BO18" s="9">
        <v>5000</v>
      </c>
      <c r="BP18" s="9">
        <v>1000</v>
      </c>
      <c r="BQ18" s="9">
        <v>10000</v>
      </c>
      <c r="BR18" s="9">
        <v>6000</v>
      </c>
      <c r="BS18" s="9">
        <v>2000</v>
      </c>
      <c r="BT18" s="9">
        <v>600</v>
      </c>
      <c r="BU18" s="9">
        <v>2250</v>
      </c>
      <c r="BV18" s="11"/>
      <c r="BW18" s="68">
        <v>5000</v>
      </c>
      <c r="BX18" s="68">
        <v>5080</v>
      </c>
      <c r="BY18" s="10"/>
      <c r="BZ18" s="10">
        <v>2500</v>
      </c>
      <c r="CA18" s="10">
        <v>4900</v>
      </c>
      <c r="CB18" s="10">
        <v>6500</v>
      </c>
      <c r="CC18" s="21"/>
      <c r="CD18" s="20" t="s">
        <v>34</v>
      </c>
      <c r="CE18" s="10">
        <v>88000</v>
      </c>
      <c r="CF18" s="11"/>
      <c r="CH18" s="72">
        <v>343000</v>
      </c>
      <c r="CI18" s="24"/>
      <c r="CJ18" s="9">
        <v>1500</v>
      </c>
      <c r="CK18" s="9">
        <v>5500</v>
      </c>
      <c r="CL18" s="9"/>
      <c r="CM18" s="9"/>
      <c r="CN18" s="9"/>
      <c r="CO18" s="9"/>
      <c r="CP18" s="9"/>
      <c r="CQ18" s="11"/>
      <c r="CR18" s="68">
        <v>8030</v>
      </c>
      <c r="CS18" s="10"/>
      <c r="CT18" s="10"/>
      <c r="CU18" s="68">
        <v>8000</v>
      </c>
      <c r="CV18" s="10"/>
      <c r="CW18" s="10"/>
      <c r="CX18" s="21"/>
      <c r="CY18" s="20"/>
      <c r="CZ18" s="10"/>
      <c r="DA18" s="11"/>
      <c r="DC18" s="72">
        <v>33730</v>
      </c>
    </row>
    <row r="19" ht="15.75" customHeight="1" spans="1:107">
      <c r="A19" s="9">
        <v>6000</v>
      </c>
      <c r="B19" s="9">
        <v>2600</v>
      </c>
      <c r="C19" s="9">
        <v>1000</v>
      </c>
      <c r="D19" s="9">
        <v>11500</v>
      </c>
      <c r="E19" s="9">
        <v>12500</v>
      </c>
      <c r="F19" s="9">
        <v>8800</v>
      </c>
      <c r="G19" s="9">
        <v>5000</v>
      </c>
      <c r="H19" s="11"/>
      <c r="I19" s="68">
        <v>2000</v>
      </c>
      <c r="J19" s="68">
        <v>10000</v>
      </c>
      <c r="K19" s="10"/>
      <c r="L19" s="68">
        <v>3500</v>
      </c>
      <c r="M19" s="68">
        <v>100000</v>
      </c>
      <c r="N19" s="10"/>
      <c r="O19" s="21"/>
      <c r="P19" s="20" t="s">
        <v>56</v>
      </c>
      <c r="Q19" s="10">
        <v>320000</v>
      </c>
      <c r="R19" s="11"/>
      <c r="S19" s="24"/>
      <c r="T19" s="72">
        <v>182970</v>
      </c>
      <c r="U19" s="24"/>
      <c r="V19" s="9">
        <v>3000</v>
      </c>
      <c r="W19" s="9">
        <v>1500</v>
      </c>
      <c r="X19" s="9">
        <v>1500</v>
      </c>
      <c r="Y19" s="9">
        <v>15000</v>
      </c>
      <c r="Z19" s="9">
        <v>4000</v>
      </c>
      <c r="AA19" s="9">
        <v>6000</v>
      </c>
      <c r="AB19" s="9">
        <v>4000</v>
      </c>
      <c r="AC19" s="11"/>
      <c r="AD19" s="68">
        <v>10900</v>
      </c>
      <c r="AE19" s="68">
        <v>11050</v>
      </c>
      <c r="AF19" s="68">
        <v>4500</v>
      </c>
      <c r="AG19" s="10"/>
      <c r="AH19" s="68">
        <v>11000</v>
      </c>
      <c r="AI19" s="68">
        <v>2000</v>
      </c>
      <c r="AJ19" s="10"/>
      <c r="AK19" s="21"/>
      <c r="AL19" s="20"/>
      <c r="AM19" s="10"/>
      <c r="AN19" s="11"/>
      <c r="AO19" s="24"/>
      <c r="AP19" s="72">
        <v>21000</v>
      </c>
      <c r="AR19" s="9">
        <v>3500</v>
      </c>
      <c r="AS19" s="9">
        <v>1500</v>
      </c>
      <c r="AT19" s="9">
        <v>19000</v>
      </c>
      <c r="AU19" s="9">
        <v>9500</v>
      </c>
      <c r="AV19" s="9">
        <v>48040</v>
      </c>
      <c r="AW19" s="9">
        <v>2000</v>
      </c>
      <c r="AX19" s="9">
        <v>20000</v>
      </c>
      <c r="AY19" s="9"/>
      <c r="AZ19" s="11"/>
      <c r="BA19" s="68">
        <v>32000</v>
      </c>
      <c r="BB19" s="68">
        <v>6000</v>
      </c>
      <c r="BC19" s="68">
        <v>4800</v>
      </c>
      <c r="BD19" s="10"/>
      <c r="BE19" s="68">
        <v>4000</v>
      </c>
      <c r="BF19" s="68">
        <v>30000</v>
      </c>
      <c r="BG19" s="68">
        <v>3000</v>
      </c>
      <c r="BH19" s="21"/>
      <c r="BI19" s="20"/>
      <c r="BJ19" s="10"/>
      <c r="BK19" s="11"/>
      <c r="BL19" s="24"/>
      <c r="BM19" s="72">
        <v>30380</v>
      </c>
      <c r="BO19" s="9">
        <v>3000</v>
      </c>
      <c r="BP19" s="9">
        <v>7500</v>
      </c>
      <c r="BQ19" s="9">
        <v>34500</v>
      </c>
      <c r="BR19" s="9">
        <v>1600</v>
      </c>
      <c r="BS19" s="9">
        <v>2000</v>
      </c>
      <c r="BT19" s="9">
        <v>5000</v>
      </c>
      <c r="BU19" s="9">
        <v>5000</v>
      </c>
      <c r="BV19" s="11"/>
      <c r="BW19" s="68">
        <v>18940</v>
      </c>
      <c r="BX19" s="68">
        <v>4500</v>
      </c>
      <c r="BY19" s="10"/>
      <c r="BZ19" s="10">
        <v>10600</v>
      </c>
      <c r="CA19" s="10">
        <v>19000</v>
      </c>
      <c r="CB19" s="10">
        <v>7000</v>
      </c>
      <c r="CC19" s="21"/>
      <c r="CD19" s="20" t="s">
        <v>38</v>
      </c>
      <c r="CE19" s="10">
        <v>55100</v>
      </c>
      <c r="CF19" s="11"/>
      <c r="CG19" s="24"/>
      <c r="CH19" s="72">
        <v>149000</v>
      </c>
      <c r="CI19" s="31"/>
      <c r="CJ19" s="9">
        <v>2000</v>
      </c>
      <c r="CK19" s="9"/>
      <c r="CL19" s="9"/>
      <c r="CM19" s="9"/>
      <c r="CN19" s="9"/>
      <c r="CO19" s="9"/>
      <c r="CP19" s="9"/>
      <c r="CQ19" s="11"/>
      <c r="CR19" s="68">
        <v>4900</v>
      </c>
      <c r="CS19" s="10"/>
      <c r="CT19" s="10"/>
      <c r="CU19" s="68">
        <v>7500</v>
      </c>
      <c r="CV19" s="10"/>
      <c r="CW19" s="10"/>
      <c r="CX19" s="21"/>
      <c r="CY19" s="20"/>
      <c r="CZ19" s="10"/>
      <c r="DA19" s="11"/>
      <c r="DB19" s="24"/>
      <c r="DC19" s="72"/>
    </row>
    <row r="20" ht="15" customHeight="1" spans="1:107">
      <c r="A20" s="9">
        <v>1000</v>
      </c>
      <c r="B20" s="9">
        <v>6000</v>
      </c>
      <c r="C20" s="9">
        <v>2300</v>
      </c>
      <c r="D20" s="9">
        <v>6000</v>
      </c>
      <c r="E20" s="9">
        <v>6000</v>
      </c>
      <c r="F20" s="9">
        <v>5000</v>
      </c>
      <c r="G20" s="9">
        <v>1000</v>
      </c>
      <c r="H20" s="11"/>
      <c r="I20" s="68">
        <v>3000</v>
      </c>
      <c r="J20" s="68">
        <v>7970</v>
      </c>
      <c r="K20" s="10"/>
      <c r="L20" s="68">
        <v>25000</v>
      </c>
      <c r="M20" s="68">
        <v>7000</v>
      </c>
      <c r="N20" s="10"/>
      <c r="O20" s="21"/>
      <c r="P20" s="20"/>
      <c r="Q20" s="10"/>
      <c r="R20" s="11"/>
      <c r="S20" s="24"/>
      <c r="T20" s="72">
        <v>80000</v>
      </c>
      <c r="U20" s="24"/>
      <c r="V20" s="9">
        <v>1000</v>
      </c>
      <c r="W20" s="9">
        <v>5000</v>
      </c>
      <c r="X20" s="9">
        <v>10000</v>
      </c>
      <c r="Y20" s="9">
        <v>5000</v>
      </c>
      <c r="Z20" s="9">
        <v>3000</v>
      </c>
      <c r="AA20" s="9">
        <v>45000</v>
      </c>
      <c r="AB20" s="9">
        <v>3000</v>
      </c>
      <c r="AC20" s="11"/>
      <c r="AD20" s="68">
        <v>2500</v>
      </c>
      <c r="AE20" s="68">
        <v>4160</v>
      </c>
      <c r="AF20" s="68">
        <v>3800</v>
      </c>
      <c r="AG20" s="10"/>
      <c r="AH20" s="68">
        <v>9600</v>
      </c>
      <c r="AI20" s="68">
        <v>500</v>
      </c>
      <c r="AJ20" s="10"/>
      <c r="AK20" s="21"/>
      <c r="AL20" s="20"/>
      <c r="AM20" s="10"/>
      <c r="AN20" s="11"/>
      <c r="AO20" s="24"/>
      <c r="AP20" s="72">
        <v>86300</v>
      </c>
      <c r="AR20" s="9">
        <v>1500</v>
      </c>
      <c r="AS20" s="9">
        <v>1000</v>
      </c>
      <c r="AT20" s="9">
        <v>36000</v>
      </c>
      <c r="AU20" s="9">
        <v>1700</v>
      </c>
      <c r="AV20" s="9">
        <v>8170</v>
      </c>
      <c r="AW20" s="9">
        <v>3000</v>
      </c>
      <c r="AX20" s="9">
        <v>8000</v>
      </c>
      <c r="AY20" s="9"/>
      <c r="AZ20" s="11"/>
      <c r="BA20" s="68">
        <v>6430</v>
      </c>
      <c r="BB20" s="68">
        <v>29300</v>
      </c>
      <c r="BC20" s="68">
        <v>10570</v>
      </c>
      <c r="BD20" s="10"/>
      <c r="BE20" s="68">
        <v>1500</v>
      </c>
      <c r="BF20" s="68">
        <v>1500</v>
      </c>
      <c r="BG20" s="68">
        <v>2000</v>
      </c>
      <c r="BH20" s="21"/>
      <c r="BI20" s="20"/>
      <c r="BJ20" s="10"/>
      <c r="BK20" s="11"/>
      <c r="BL20" s="24"/>
      <c r="BM20" s="72">
        <v>900000</v>
      </c>
      <c r="BO20" s="9">
        <v>6000</v>
      </c>
      <c r="BP20" s="9">
        <v>3000</v>
      </c>
      <c r="BQ20" s="9">
        <v>8000</v>
      </c>
      <c r="BR20" s="9">
        <v>5900</v>
      </c>
      <c r="BS20" s="9">
        <v>1500</v>
      </c>
      <c r="BT20" s="9">
        <v>2000</v>
      </c>
      <c r="BU20" s="9">
        <v>6800</v>
      </c>
      <c r="BV20" s="11"/>
      <c r="BW20" s="68">
        <v>1400</v>
      </c>
      <c r="BX20" s="68">
        <v>13830</v>
      </c>
      <c r="BY20" s="10"/>
      <c r="BZ20" s="10">
        <v>9100</v>
      </c>
      <c r="CA20" s="10">
        <v>20000</v>
      </c>
      <c r="CB20" s="10">
        <v>2100</v>
      </c>
      <c r="CC20" s="21"/>
      <c r="CD20" s="20" t="s">
        <v>130</v>
      </c>
      <c r="CE20" s="10">
        <v>13500</v>
      </c>
      <c r="CF20" s="11"/>
      <c r="CG20" s="24"/>
      <c r="CH20" s="72">
        <v>402700</v>
      </c>
      <c r="CI20" s="24"/>
      <c r="CJ20" s="9">
        <v>4000</v>
      </c>
      <c r="CK20" s="9"/>
      <c r="CL20" s="9"/>
      <c r="CM20" s="9"/>
      <c r="CN20" s="9"/>
      <c r="CO20" s="9"/>
      <c r="CP20" s="9"/>
      <c r="CQ20" s="11"/>
      <c r="CR20" s="10"/>
      <c r="CS20" s="10"/>
      <c r="CT20" s="10"/>
      <c r="CU20" s="68">
        <v>3000</v>
      </c>
      <c r="CV20" s="10"/>
      <c r="CW20" s="10"/>
      <c r="CX20" s="21"/>
      <c r="CY20" s="20"/>
      <c r="CZ20" s="10"/>
      <c r="DA20" s="11"/>
      <c r="DB20" s="24"/>
      <c r="DC20" s="72"/>
    </row>
    <row r="21" ht="15" customHeight="1" spans="1:107">
      <c r="A21" s="9">
        <v>2000</v>
      </c>
      <c r="B21" s="9">
        <v>2500</v>
      </c>
      <c r="C21" s="9">
        <v>14500</v>
      </c>
      <c r="D21" s="9">
        <v>7000</v>
      </c>
      <c r="E21" s="9">
        <v>1000</v>
      </c>
      <c r="F21" s="9">
        <v>3000</v>
      </c>
      <c r="G21" s="9">
        <v>4000</v>
      </c>
      <c r="H21" s="11"/>
      <c r="I21" s="68">
        <v>16160</v>
      </c>
      <c r="J21" s="68">
        <v>17680</v>
      </c>
      <c r="K21" s="10"/>
      <c r="L21" s="68">
        <v>32000</v>
      </c>
      <c r="M21" s="68">
        <v>1000</v>
      </c>
      <c r="N21" s="10"/>
      <c r="O21" s="21"/>
      <c r="P21" s="20"/>
      <c r="Q21" s="10"/>
      <c r="R21" s="11"/>
      <c r="S21" s="24"/>
      <c r="T21" s="72">
        <v>1116680</v>
      </c>
      <c r="U21" s="24"/>
      <c r="V21" s="9">
        <v>1000</v>
      </c>
      <c r="W21" s="9">
        <v>4000</v>
      </c>
      <c r="X21" s="9">
        <v>2000</v>
      </c>
      <c r="Y21" s="9">
        <v>15000</v>
      </c>
      <c r="Z21" s="9">
        <v>4000</v>
      </c>
      <c r="AA21" s="9">
        <v>4000</v>
      </c>
      <c r="AB21" s="9">
        <v>2000</v>
      </c>
      <c r="AC21" s="11"/>
      <c r="AD21" s="68">
        <v>2000</v>
      </c>
      <c r="AE21" s="68">
        <v>12970</v>
      </c>
      <c r="AF21" s="68">
        <v>8000</v>
      </c>
      <c r="AG21" s="10"/>
      <c r="AH21" s="68">
        <v>38000</v>
      </c>
      <c r="AI21" s="68">
        <v>1000</v>
      </c>
      <c r="AJ21" s="10"/>
      <c r="AK21" s="21"/>
      <c r="AL21" s="20"/>
      <c r="AM21" s="10"/>
      <c r="AN21" s="11"/>
      <c r="AO21" s="24"/>
      <c r="AP21" s="72">
        <v>204000</v>
      </c>
      <c r="AR21" s="9">
        <v>28800</v>
      </c>
      <c r="AS21" s="9">
        <v>4500</v>
      </c>
      <c r="AT21" s="9">
        <v>12800</v>
      </c>
      <c r="AU21" s="9">
        <v>20000</v>
      </c>
      <c r="AV21" s="9">
        <v>2500</v>
      </c>
      <c r="AW21" s="9">
        <v>3000</v>
      </c>
      <c r="AX21" s="9">
        <v>8000</v>
      </c>
      <c r="AY21" s="9"/>
      <c r="AZ21" s="11"/>
      <c r="BA21" s="68">
        <v>4800</v>
      </c>
      <c r="BB21" s="68">
        <v>4320</v>
      </c>
      <c r="BC21" s="68">
        <v>1440</v>
      </c>
      <c r="BD21" s="10"/>
      <c r="BE21" s="68">
        <v>2500</v>
      </c>
      <c r="BF21" s="68">
        <v>2300</v>
      </c>
      <c r="BG21" s="68">
        <v>1000</v>
      </c>
      <c r="BH21" s="21"/>
      <c r="BI21" s="20"/>
      <c r="BJ21" s="10"/>
      <c r="BK21" s="11"/>
      <c r="BL21" s="24"/>
      <c r="BM21" s="72">
        <v>25900</v>
      </c>
      <c r="BO21" s="9">
        <v>22400</v>
      </c>
      <c r="BP21" s="9">
        <v>1500</v>
      </c>
      <c r="BQ21" s="9">
        <v>2000</v>
      </c>
      <c r="BR21" s="9">
        <v>16500</v>
      </c>
      <c r="BS21" s="9">
        <v>5000</v>
      </c>
      <c r="BT21" s="9">
        <v>7200</v>
      </c>
      <c r="BU21" s="9">
        <v>1500</v>
      </c>
      <c r="BV21" s="11"/>
      <c r="BW21" s="68">
        <v>4500</v>
      </c>
      <c r="BX21" s="68">
        <v>7690</v>
      </c>
      <c r="BY21" s="10"/>
      <c r="BZ21" s="10">
        <v>17000</v>
      </c>
      <c r="CA21" s="10">
        <v>13500</v>
      </c>
      <c r="CB21" s="10">
        <v>11500</v>
      </c>
      <c r="CC21" s="21"/>
      <c r="CD21" s="20" t="s">
        <v>55</v>
      </c>
      <c r="CE21" s="10">
        <v>28000</v>
      </c>
      <c r="CF21" s="11"/>
      <c r="CG21" s="24"/>
      <c r="CH21" s="72">
        <v>88000</v>
      </c>
      <c r="CI21" s="24"/>
      <c r="CJ21" s="9">
        <v>1000</v>
      </c>
      <c r="CK21" s="9"/>
      <c r="CL21" s="9"/>
      <c r="CM21" s="9"/>
      <c r="CN21" s="9"/>
      <c r="CO21" s="9"/>
      <c r="CP21" s="9"/>
      <c r="CQ21" s="11"/>
      <c r="CR21" s="10"/>
      <c r="CS21" s="10"/>
      <c r="CT21" s="10"/>
      <c r="CU21" s="68">
        <v>33000</v>
      </c>
      <c r="CV21" s="10"/>
      <c r="CW21" s="10"/>
      <c r="CX21" s="21"/>
      <c r="CY21" s="20"/>
      <c r="CZ21" s="10"/>
      <c r="DA21" s="11"/>
      <c r="DB21" s="24"/>
      <c r="DC21" s="72"/>
    </row>
    <row r="22" ht="15.75" customHeight="1" spans="1:107">
      <c r="A22" s="9">
        <v>10000</v>
      </c>
      <c r="B22" s="9">
        <v>2000</v>
      </c>
      <c r="C22" s="9">
        <v>21700</v>
      </c>
      <c r="D22" s="9">
        <v>1000</v>
      </c>
      <c r="E22" s="9">
        <v>12000</v>
      </c>
      <c r="F22" s="9">
        <v>4300</v>
      </c>
      <c r="G22" s="9">
        <v>2000</v>
      </c>
      <c r="H22" s="11"/>
      <c r="I22" s="68">
        <v>47260</v>
      </c>
      <c r="J22" s="68">
        <v>5280</v>
      </c>
      <c r="K22" s="10"/>
      <c r="L22" s="68">
        <v>4500</v>
      </c>
      <c r="M22" s="68">
        <v>6000</v>
      </c>
      <c r="N22" s="10"/>
      <c r="O22" s="21"/>
      <c r="P22" s="20"/>
      <c r="Q22" s="10"/>
      <c r="R22" s="11"/>
      <c r="S22" s="24"/>
      <c r="T22" s="72">
        <v>100000</v>
      </c>
      <c r="U22" s="24"/>
      <c r="V22" s="9">
        <v>2500</v>
      </c>
      <c r="W22" s="9">
        <v>2500</v>
      </c>
      <c r="X22" s="9">
        <v>1500</v>
      </c>
      <c r="Y22" s="9">
        <v>7000</v>
      </c>
      <c r="Z22" s="9">
        <v>11500</v>
      </c>
      <c r="AA22" s="9">
        <v>18000</v>
      </c>
      <c r="AB22" s="9">
        <v>10000</v>
      </c>
      <c r="AC22" s="11"/>
      <c r="AD22" s="68">
        <v>25940</v>
      </c>
      <c r="AE22" s="68">
        <v>3700</v>
      </c>
      <c r="AF22" s="68">
        <v>5000</v>
      </c>
      <c r="AG22" s="10"/>
      <c r="AH22" s="68">
        <v>4000</v>
      </c>
      <c r="AI22" s="68">
        <v>25700</v>
      </c>
      <c r="AJ22" s="10"/>
      <c r="AK22" s="21"/>
      <c r="AL22" s="20"/>
      <c r="AM22" s="10"/>
      <c r="AN22" s="11"/>
      <c r="AO22" s="24"/>
      <c r="AP22" s="72"/>
      <c r="AR22" s="9">
        <v>3500</v>
      </c>
      <c r="AS22" s="9">
        <v>1000</v>
      </c>
      <c r="AT22" s="9">
        <v>18500</v>
      </c>
      <c r="AU22" s="9">
        <v>23000</v>
      </c>
      <c r="AV22" s="9">
        <v>4000</v>
      </c>
      <c r="AW22" s="9">
        <v>20000</v>
      </c>
      <c r="AX22" s="9">
        <v>1500</v>
      </c>
      <c r="AY22" s="9"/>
      <c r="AZ22" s="11"/>
      <c r="BA22" s="68">
        <v>13500</v>
      </c>
      <c r="BB22" s="68">
        <v>14000</v>
      </c>
      <c r="BC22" s="68">
        <v>6240</v>
      </c>
      <c r="BD22" s="10"/>
      <c r="BE22" s="68">
        <v>6000</v>
      </c>
      <c r="BF22" s="68">
        <v>2000</v>
      </c>
      <c r="BG22" s="68">
        <v>1000</v>
      </c>
      <c r="BH22" s="21"/>
      <c r="BI22" s="20"/>
      <c r="BJ22" s="10"/>
      <c r="BK22" s="11"/>
      <c r="BL22" s="24"/>
      <c r="BM22" s="72">
        <v>288550</v>
      </c>
      <c r="BO22" s="9">
        <v>8400</v>
      </c>
      <c r="BP22" s="9">
        <v>2000</v>
      </c>
      <c r="BQ22" s="9">
        <v>400</v>
      </c>
      <c r="BR22" s="9">
        <v>2000</v>
      </c>
      <c r="BS22" s="9">
        <v>10000</v>
      </c>
      <c r="BT22" s="9">
        <v>12500</v>
      </c>
      <c r="BU22" s="9">
        <v>4000</v>
      </c>
      <c r="BV22" s="11"/>
      <c r="BW22" s="68">
        <v>10570</v>
      </c>
      <c r="BX22" s="68">
        <v>2880</v>
      </c>
      <c r="BY22" s="10"/>
      <c r="BZ22" s="10">
        <v>2500</v>
      </c>
      <c r="CA22" s="10">
        <v>7000</v>
      </c>
      <c r="CB22" s="10">
        <v>7500</v>
      </c>
      <c r="CC22" s="21"/>
      <c r="CD22" s="20"/>
      <c r="CE22" s="10"/>
      <c r="CF22" s="11"/>
      <c r="CG22" s="24"/>
      <c r="CH22" s="72">
        <v>28000</v>
      </c>
      <c r="CI22" s="24"/>
      <c r="CJ22" s="9">
        <v>5000</v>
      </c>
      <c r="CK22" s="9"/>
      <c r="CL22" s="9"/>
      <c r="CM22" s="9"/>
      <c r="CN22" s="9"/>
      <c r="CO22" s="9"/>
      <c r="CP22" s="9"/>
      <c r="CQ22" s="11"/>
      <c r="CR22" s="10"/>
      <c r="CS22" s="10"/>
      <c r="CT22" s="10"/>
      <c r="CU22" s="68">
        <v>7000</v>
      </c>
      <c r="CV22" s="10"/>
      <c r="CW22" s="10"/>
      <c r="CX22" s="21"/>
      <c r="CY22" s="20"/>
      <c r="CZ22" s="10"/>
      <c r="DA22" s="11"/>
      <c r="DB22" s="24"/>
      <c r="DC22" s="72"/>
    </row>
    <row r="23" spans="1:107">
      <c r="A23" s="9">
        <v>47000</v>
      </c>
      <c r="B23" s="9">
        <v>4500</v>
      </c>
      <c r="C23" s="9">
        <v>500</v>
      </c>
      <c r="D23" s="9">
        <v>1500</v>
      </c>
      <c r="E23" s="9">
        <v>8000</v>
      </c>
      <c r="F23" s="9">
        <v>11000</v>
      </c>
      <c r="G23" s="9">
        <v>2000</v>
      </c>
      <c r="H23" s="11"/>
      <c r="I23" s="68">
        <v>20000</v>
      </c>
      <c r="J23" s="68">
        <v>17500</v>
      </c>
      <c r="K23" s="10"/>
      <c r="L23" s="68">
        <v>9600</v>
      </c>
      <c r="M23" s="68">
        <v>9600</v>
      </c>
      <c r="N23" s="10"/>
      <c r="O23" s="21"/>
      <c r="P23" s="20"/>
      <c r="Q23" s="10"/>
      <c r="R23" s="11"/>
      <c r="S23" s="24"/>
      <c r="T23" s="72">
        <v>447330</v>
      </c>
      <c r="U23" s="24"/>
      <c r="V23" s="9">
        <v>4000</v>
      </c>
      <c r="W23" s="9">
        <v>1000</v>
      </c>
      <c r="X23" s="9">
        <v>3500</v>
      </c>
      <c r="Y23" s="9">
        <v>6500</v>
      </c>
      <c r="Z23" s="9">
        <v>9900</v>
      </c>
      <c r="AA23" s="9">
        <v>9300</v>
      </c>
      <c r="AB23" s="9">
        <v>3000</v>
      </c>
      <c r="AC23" s="11"/>
      <c r="AD23" s="68">
        <v>300</v>
      </c>
      <c r="AE23" s="68">
        <v>10800</v>
      </c>
      <c r="AF23" s="68">
        <v>1800</v>
      </c>
      <c r="AG23" s="10"/>
      <c r="AH23" s="68">
        <v>17500</v>
      </c>
      <c r="AI23" s="68">
        <v>6000</v>
      </c>
      <c r="AJ23" s="10"/>
      <c r="AK23" s="21"/>
      <c r="AL23" s="20"/>
      <c r="AM23" s="10"/>
      <c r="AN23" s="11"/>
      <c r="AO23" s="24"/>
      <c r="AP23" s="72"/>
      <c r="AR23" s="9">
        <v>2000</v>
      </c>
      <c r="AS23" s="9">
        <v>28500</v>
      </c>
      <c r="AT23" s="9">
        <v>1600</v>
      </c>
      <c r="AU23" s="9">
        <v>12500</v>
      </c>
      <c r="AV23" s="9">
        <v>500</v>
      </c>
      <c r="AW23" s="9">
        <v>6800</v>
      </c>
      <c r="AX23" s="9">
        <v>6000</v>
      </c>
      <c r="AY23" s="9"/>
      <c r="AZ23" s="11"/>
      <c r="BA23" s="68">
        <v>7500</v>
      </c>
      <c r="BB23" s="68">
        <v>6000</v>
      </c>
      <c r="BC23" s="68">
        <v>2500</v>
      </c>
      <c r="BD23" s="10"/>
      <c r="BE23" s="68">
        <v>7500</v>
      </c>
      <c r="BF23" s="68">
        <v>9000</v>
      </c>
      <c r="BG23" s="68">
        <v>7200</v>
      </c>
      <c r="BH23" s="21"/>
      <c r="BI23" s="20"/>
      <c r="BJ23" s="10"/>
      <c r="BK23" s="11"/>
      <c r="BL23" s="24"/>
      <c r="BM23" s="72"/>
      <c r="BO23" s="9">
        <v>10000</v>
      </c>
      <c r="BP23" s="9">
        <v>7000</v>
      </c>
      <c r="BQ23" s="9">
        <v>4200</v>
      </c>
      <c r="BR23" s="9">
        <v>4500</v>
      </c>
      <c r="BS23" s="9">
        <v>300</v>
      </c>
      <c r="BT23" s="9">
        <v>28000</v>
      </c>
      <c r="BU23" s="9">
        <v>46000</v>
      </c>
      <c r="BV23" s="11"/>
      <c r="BW23" s="68">
        <v>8500</v>
      </c>
      <c r="BX23" s="68">
        <v>12200</v>
      </c>
      <c r="BY23" s="10"/>
      <c r="BZ23" s="10">
        <v>5000</v>
      </c>
      <c r="CA23" s="10">
        <v>21000</v>
      </c>
      <c r="CB23" s="10">
        <v>2000</v>
      </c>
      <c r="CC23" s="21"/>
      <c r="CD23" s="20"/>
      <c r="CE23" s="10"/>
      <c r="CF23" s="11"/>
      <c r="CG23" s="24"/>
      <c r="CH23" s="72"/>
      <c r="CI23" s="24"/>
      <c r="CJ23" s="9">
        <v>8500</v>
      </c>
      <c r="CK23" s="9"/>
      <c r="CL23" s="9"/>
      <c r="CM23" s="9"/>
      <c r="CN23" s="9"/>
      <c r="CO23" s="9"/>
      <c r="CP23" s="9"/>
      <c r="CQ23" s="11"/>
      <c r="CR23" s="10"/>
      <c r="CS23" s="10"/>
      <c r="CT23" s="10"/>
      <c r="CU23" s="68">
        <v>30000</v>
      </c>
      <c r="CV23" s="10"/>
      <c r="CW23" s="10"/>
      <c r="CX23" s="21"/>
      <c r="CY23" s="20"/>
      <c r="CZ23" s="10"/>
      <c r="DA23" s="11"/>
      <c r="DB23" s="24"/>
      <c r="DC23" s="72"/>
    </row>
    <row r="24" spans="1:107">
      <c r="A24" s="9">
        <v>2000</v>
      </c>
      <c r="B24" s="9">
        <v>20000</v>
      </c>
      <c r="C24" s="9">
        <v>3500</v>
      </c>
      <c r="D24" s="9">
        <v>3500</v>
      </c>
      <c r="E24" s="9">
        <v>2000</v>
      </c>
      <c r="F24" s="9">
        <v>3000</v>
      </c>
      <c r="G24" s="9">
        <v>30000</v>
      </c>
      <c r="H24" s="11"/>
      <c r="I24" s="68">
        <v>2880</v>
      </c>
      <c r="J24" s="68">
        <v>29780</v>
      </c>
      <c r="K24" s="10"/>
      <c r="L24" s="68">
        <v>17000</v>
      </c>
      <c r="M24" s="68">
        <v>4500</v>
      </c>
      <c r="N24" s="10"/>
      <c r="O24" s="21"/>
      <c r="P24" s="20"/>
      <c r="Q24" s="10"/>
      <c r="R24" s="11"/>
      <c r="S24" s="24"/>
      <c r="T24" s="72">
        <v>21500</v>
      </c>
      <c r="U24" s="24"/>
      <c r="V24" s="9">
        <v>2000</v>
      </c>
      <c r="W24" s="9">
        <v>6000</v>
      </c>
      <c r="X24" s="9">
        <v>3000</v>
      </c>
      <c r="Y24" s="9">
        <v>1500</v>
      </c>
      <c r="Z24" s="9">
        <v>7100</v>
      </c>
      <c r="AA24" s="9">
        <v>1000</v>
      </c>
      <c r="AB24" s="9">
        <v>1000</v>
      </c>
      <c r="AC24" s="11"/>
      <c r="AD24" s="68">
        <v>4800</v>
      </c>
      <c r="AE24" s="68">
        <v>40000</v>
      </c>
      <c r="AF24" s="68">
        <v>12300</v>
      </c>
      <c r="AG24" s="10"/>
      <c r="AH24" s="68">
        <v>4000</v>
      </c>
      <c r="AI24" s="68">
        <v>5800</v>
      </c>
      <c r="AJ24" s="10"/>
      <c r="AK24" s="21"/>
      <c r="AL24" s="20"/>
      <c r="AM24" s="10"/>
      <c r="AN24" s="11"/>
      <c r="AO24" s="24"/>
      <c r="AP24" s="72"/>
      <c r="AR24" s="9">
        <v>1500</v>
      </c>
      <c r="AS24" s="9">
        <v>2500</v>
      </c>
      <c r="AT24" s="9">
        <v>14600</v>
      </c>
      <c r="AU24" s="9">
        <v>10000</v>
      </c>
      <c r="AV24" s="9">
        <v>8000</v>
      </c>
      <c r="AW24" s="9">
        <v>5000</v>
      </c>
      <c r="AX24" s="9">
        <v>10000</v>
      </c>
      <c r="AY24" s="9"/>
      <c r="AZ24" s="11"/>
      <c r="BA24" s="68">
        <v>4500</v>
      </c>
      <c r="BB24" s="68">
        <v>4000</v>
      </c>
      <c r="BC24" s="68">
        <v>7200</v>
      </c>
      <c r="BD24" s="10"/>
      <c r="BE24" s="68">
        <v>39000</v>
      </c>
      <c r="BF24" s="68">
        <v>3500</v>
      </c>
      <c r="BG24" s="68">
        <v>4000</v>
      </c>
      <c r="BH24" s="21"/>
      <c r="BI24" s="20"/>
      <c r="BJ24" s="10"/>
      <c r="BK24" s="11"/>
      <c r="BL24" s="24"/>
      <c r="BM24" s="72"/>
      <c r="BO24" s="9">
        <v>10000</v>
      </c>
      <c r="BP24" s="9">
        <v>6000</v>
      </c>
      <c r="BQ24" s="9">
        <v>8500</v>
      </c>
      <c r="BR24" s="9">
        <v>1000</v>
      </c>
      <c r="BS24" s="9">
        <v>7000</v>
      </c>
      <c r="BT24" s="9">
        <v>5000</v>
      </c>
      <c r="BU24" s="9"/>
      <c r="BV24" s="11"/>
      <c r="BW24" s="68">
        <v>20000</v>
      </c>
      <c r="BX24" s="68">
        <v>45730</v>
      </c>
      <c r="BY24" s="10"/>
      <c r="BZ24" s="10">
        <v>5500</v>
      </c>
      <c r="CA24" s="10">
        <v>7000</v>
      </c>
      <c r="CB24" s="10">
        <v>20000</v>
      </c>
      <c r="CC24" s="21"/>
      <c r="CD24" s="20"/>
      <c r="CE24" s="10"/>
      <c r="CF24" s="11"/>
      <c r="CG24" s="24"/>
      <c r="CH24" s="72"/>
      <c r="CI24" s="24"/>
      <c r="CJ24" s="9">
        <v>1000</v>
      </c>
      <c r="CK24" s="9"/>
      <c r="CL24" s="9"/>
      <c r="CM24" s="9"/>
      <c r="CN24" s="9"/>
      <c r="CO24" s="9"/>
      <c r="CP24" s="9"/>
      <c r="CQ24" s="11"/>
      <c r="CR24" s="10"/>
      <c r="CS24" s="10"/>
      <c r="CT24" s="10"/>
      <c r="CU24" s="68">
        <v>5000</v>
      </c>
      <c r="CV24" s="10"/>
      <c r="CW24" s="10"/>
      <c r="CX24" s="21"/>
      <c r="CY24" s="20"/>
      <c r="CZ24" s="10"/>
      <c r="DA24" s="11"/>
      <c r="DB24" s="24"/>
      <c r="DC24" s="72"/>
    </row>
    <row r="25" spans="1:107">
      <c r="A25" s="9">
        <v>3000</v>
      </c>
      <c r="B25" s="9">
        <v>600</v>
      </c>
      <c r="C25" s="9">
        <v>1000</v>
      </c>
      <c r="D25" s="9">
        <v>900</v>
      </c>
      <c r="E25" s="9">
        <v>8500</v>
      </c>
      <c r="F25" s="9">
        <v>37500</v>
      </c>
      <c r="G25" s="9">
        <v>4200</v>
      </c>
      <c r="H25" s="11"/>
      <c r="I25" s="68">
        <v>2500</v>
      </c>
      <c r="J25" s="68">
        <v>7200</v>
      </c>
      <c r="K25" s="10"/>
      <c r="L25" s="68">
        <v>3800</v>
      </c>
      <c r="M25" s="68">
        <v>15000</v>
      </c>
      <c r="N25" s="10"/>
      <c r="O25" s="21"/>
      <c r="P25" s="20"/>
      <c r="Q25" s="10"/>
      <c r="R25" s="11"/>
      <c r="S25" s="24"/>
      <c r="T25" s="72">
        <v>320000</v>
      </c>
      <c r="U25" s="24"/>
      <c r="V25" s="9">
        <v>200</v>
      </c>
      <c r="W25" s="9">
        <v>25000</v>
      </c>
      <c r="X25" s="9">
        <v>700</v>
      </c>
      <c r="Y25" s="9">
        <v>12300</v>
      </c>
      <c r="Z25" s="9">
        <v>1000</v>
      </c>
      <c r="AA25" s="9">
        <v>3300</v>
      </c>
      <c r="AB25" s="9">
        <v>6000</v>
      </c>
      <c r="AC25" s="11"/>
      <c r="AD25" s="68">
        <v>7920</v>
      </c>
      <c r="AE25" s="68">
        <v>4000</v>
      </c>
      <c r="AF25" s="68">
        <v>3500</v>
      </c>
      <c r="AG25" s="10"/>
      <c r="AH25" s="68">
        <v>1000</v>
      </c>
      <c r="AI25" s="68">
        <v>8000</v>
      </c>
      <c r="AJ25" s="10"/>
      <c r="AK25" s="21"/>
      <c r="AL25" s="20"/>
      <c r="AM25" s="10"/>
      <c r="AN25" s="11"/>
      <c r="AO25" s="24"/>
      <c r="AP25" s="72"/>
      <c r="AR25" s="9">
        <v>9500</v>
      </c>
      <c r="AS25" s="9">
        <v>2000</v>
      </c>
      <c r="AT25" s="9">
        <v>4000</v>
      </c>
      <c r="AU25" s="9">
        <v>2500</v>
      </c>
      <c r="AV25" s="9">
        <v>40000</v>
      </c>
      <c r="AW25" s="9">
        <v>1000</v>
      </c>
      <c r="AX25" s="9">
        <v>12000</v>
      </c>
      <c r="AY25" s="9"/>
      <c r="AZ25" s="11"/>
      <c r="BA25" s="68">
        <v>17000</v>
      </c>
      <c r="BB25" s="68">
        <v>25500</v>
      </c>
      <c r="BC25" s="68">
        <v>400</v>
      </c>
      <c r="BD25" s="10"/>
      <c r="BE25" s="68">
        <v>6500</v>
      </c>
      <c r="BF25" s="68">
        <v>24000</v>
      </c>
      <c r="BG25" s="68">
        <v>8500</v>
      </c>
      <c r="BH25" s="21"/>
      <c r="BI25" s="20"/>
      <c r="BJ25" s="10"/>
      <c r="BK25" s="11"/>
      <c r="BL25" s="24"/>
      <c r="BM25" s="72"/>
      <c r="BO25" s="9">
        <v>15500</v>
      </c>
      <c r="BP25" s="9">
        <v>5000</v>
      </c>
      <c r="BQ25" s="9">
        <v>5500</v>
      </c>
      <c r="BR25" s="9">
        <v>10500</v>
      </c>
      <c r="BS25" s="9">
        <v>4000</v>
      </c>
      <c r="BT25" s="9">
        <v>5500</v>
      </c>
      <c r="BU25" s="9"/>
      <c r="BV25" s="11"/>
      <c r="BW25" s="68">
        <v>16800</v>
      </c>
      <c r="BX25" s="68">
        <v>41670</v>
      </c>
      <c r="BY25" s="10"/>
      <c r="BZ25" s="10">
        <v>30000</v>
      </c>
      <c r="CA25" s="10">
        <v>7200</v>
      </c>
      <c r="CB25" s="10">
        <v>29500</v>
      </c>
      <c r="CC25" s="21"/>
      <c r="CD25" s="20"/>
      <c r="CE25" s="10"/>
      <c r="CF25" s="11"/>
      <c r="CG25" s="24"/>
      <c r="CH25" s="72"/>
      <c r="CI25" s="24"/>
      <c r="CJ25" s="9">
        <v>1000</v>
      </c>
      <c r="CK25" s="9"/>
      <c r="CL25" s="9"/>
      <c r="CM25" s="9"/>
      <c r="CN25" s="9"/>
      <c r="CO25" s="9"/>
      <c r="CP25" s="9"/>
      <c r="CQ25" s="11"/>
      <c r="CR25" s="10"/>
      <c r="CS25" s="10"/>
      <c r="CT25" s="10"/>
      <c r="CU25" s="68">
        <v>5600</v>
      </c>
      <c r="CV25" s="10"/>
      <c r="CW25" s="10"/>
      <c r="CX25" s="21"/>
      <c r="CY25" s="20"/>
      <c r="CZ25" s="10"/>
      <c r="DA25" s="11"/>
      <c r="DB25" s="24"/>
      <c r="DC25" s="72"/>
    </row>
    <row r="26" spans="1:107">
      <c r="A26" s="9">
        <v>3000</v>
      </c>
      <c r="B26" s="9">
        <v>6200</v>
      </c>
      <c r="C26" s="9">
        <v>2900</v>
      </c>
      <c r="D26" s="9">
        <v>9500</v>
      </c>
      <c r="E26" s="9">
        <v>5000</v>
      </c>
      <c r="F26" s="9">
        <v>2000</v>
      </c>
      <c r="G26" s="9">
        <v>20000</v>
      </c>
      <c r="H26" s="11"/>
      <c r="I26" s="68">
        <v>10570</v>
      </c>
      <c r="J26" s="68">
        <v>12010</v>
      </c>
      <c r="K26" s="10"/>
      <c r="L26" s="68">
        <v>29000</v>
      </c>
      <c r="M26" s="68">
        <v>14500</v>
      </c>
      <c r="N26" s="10"/>
      <c r="O26" s="21"/>
      <c r="P26" s="20"/>
      <c r="Q26" s="10"/>
      <c r="R26" s="11"/>
      <c r="S26" s="24"/>
      <c r="T26" s="72"/>
      <c r="U26" s="24"/>
      <c r="V26" s="9">
        <v>2500</v>
      </c>
      <c r="W26" s="9">
        <v>8100</v>
      </c>
      <c r="X26" s="9">
        <v>1000</v>
      </c>
      <c r="Y26" s="9">
        <v>22000</v>
      </c>
      <c r="Z26" s="9">
        <v>7000</v>
      </c>
      <c r="AA26" s="9">
        <v>10000</v>
      </c>
      <c r="AB26" s="9">
        <v>12500</v>
      </c>
      <c r="AC26" s="11"/>
      <c r="AD26" s="68">
        <v>13210</v>
      </c>
      <c r="AE26" s="68">
        <v>3360</v>
      </c>
      <c r="AF26" s="68">
        <v>1500</v>
      </c>
      <c r="AG26" s="10"/>
      <c r="AH26" s="68">
        <v>2000</v>
      </c>
      <c r="AI26" s="68">
        <v>3000</v>
      </c>
      <c r="AJ26" s="10"/>
      <c r="AK26" s="21"/>
      <c r="AL26" s="20"/>
      <c r="AM26" s="10"/>
      <c r="AN26" s="11"/>
      <c r="AO26" s="24"/>
      <c r="AP26" s="72"/>
      <c r="AR26" s="9">
        <v>12000</v>
      </c>
      <c r="AS26" s="9">
        <v>1200</v>
      </c>
      <c r="AT26" s="9">
        <v>3500</v>
      </c>
      <c r="AU26" s="9">
        <v>2000</v>
      </c>
      <c r="AV26" s="9">
        <v>2500</v>
      </c>
      <c r="AW26" s="9">
        <v>3500</v>
      </c>
      <c r="AX26" s="9">
        <v>3500</v>
      </c>
      <c r="AY26" s="9"/>
      <c r="AZ26" s="11"/>
      <c r="BA26" s="68">
        <v>4000</v>
      </c>
      <c r="BB26" s="68">
        <v>2400</v>
      </c>
      <c r="BC26" s="68">
        <v>3500</v>
      </c>
      <c r="BD26" s="10"/>
      <c r="BE26" s="68">
        <v>7000</v>
      </c>
      <c r="BF26" s="68">
        <v>3000</v>
      </c>
      <c r="BG26" s="68">
        <v>13000</v>
      </c>
      <c r="BH26" s="21"/>
      <c r="BI26" s="20"/>
      <c r="BJ26" s="10"/>
      <c r="BK26" s="11"/>
      <c r="BL26" s="24"/>
      <c r="BM26" s="72"/>
      <c r="BO26" s="9">
        <v>48000</v>
      </c>
      <c r="BP26" s="9">
        <v>6000</v>
      </c>
      <c r="BQ26" s="9">
        <v>4500</v>
      </c>
      <c r="BR26" s="9">
        <v>1600</v>
      </c>
      <c r="BS26" s="9">
        <v>4500</v>
      </c>
      <c r="BT26" s="9">
        <v>4500</v>
      </c>
      <c r="BU26" s="9"/>
      <c r="BV26" s="11"/>
      <c r="BW26" s="68">
        <v>31100</v>
      </c>
      <c r="BX26" s="68">
        <v>4320</v>
      </c>
      <c r="BY26" s="10"/>
      <c r="BZ26" s="10">
        <v>7000</v>
      </c>
      <c r="CA26" s="10">
        <v>50000</v>
      </c>
      <c r="CB26" s="10">
        <v>2500</v>
      </c>
      <c r="CC26" s="21"/>
      <c r="CD26" s="20" t="s">
        <v>50</v>
      </c>
      <c r="CE26" s="10">
        <v>20000</v>
      </c>
      <c r="CF26" s="11"/>
      <c r="CG26" s="24"/>
      <c r="CH26" s="72"/>
      <c r="CI26" s="24"/>
      <c r="CJ26" s="9">
        <v>1000</v>
      </c>
      <c r="CK26" s="9"/>
      <c r="CL26" s="9"/>
      <c r="CM26" s="9"/>
      <c r="CN26" s="9"/>
      <c r="CO26" s="9"/>
      <c r="CP26" s="9"/>
      <c r="CQ26" s="11"/>
      <c r="CR26" s="10"/>
      <c r="CS26" s="10"/>
      <c r="CT26" s="10"/>
      <c r="CU26" s="68">
        <v>1600</v>
      </c>
      <c r="CV26" s="10"/>
      <c r="CW26" s="10"/>
      <c r="CX26" s="21"/>
      <c r="CY26" s="20"/>
      <c r="CZ26" s="10"/>
      <c r="DA26" s="11"/>
      <c r="DB26" s="24"/>
      <c r="DC26" s="72"/>
    </row>
    <row r="27" spans="1:107">
      <c r="A27" s="9">
        <v>400</v>
      </c>
      <c r="B27" s="9">
        <v>3500</v>
      </c>
      <c r="C27" s="9">
        <v>2000</v>
      </c>
      <c r="D27" s="9">
        <v>8000</v>
      </c>
      <c r="E27" s="9">
        <v>10500</v>
      </c>
      <c r="F27" s="9">
        <v>1000</v>
      </c>
      <c r="G27" s="9">
        <v>2000</v>
      </c>
      <c r="H27" s="11"/>
      <c r="I27" s="68">
        <v>4800</v>
      </c>
      <c r="J27" s="68">
        <v>4800</v>
      </c>
      <c r="K27" s="10"/>
      <c r="L27" s="68">
        <v>26500</v>
      </c>
      <c r="M27" s="68">
        <v>50000</v>
      </c>
      <c r="N27" s="10"/>
      <c r="O27" s="21"/>
      <c r="P27" s="20" t="s">
        <v>50</v>
      </c>
      <c r="Q27" s="10">
        <v>300000</v>
      </c>
      <c r="R27" s="11"/>
      <c r="S27" s="24"/>
      <c r="T27" s="72"/>
      <c r="U27" s="24"/>
      <c r="V27" s="9">
        <v>15200</v>
      </c>
      <c r="W27" s="9">
        <v>500</v>
      </c>
      <c r="X27" s="9">
        <v>6000</v>
      </c>
      <c r="Y27" s="9">
        <v>2500</v>
      </c>
      <c r="Z27" s="9">
        <v>3200</v>
      </c>
      <c r="AA27" s="9">
        <v>3200</v>
      </c>
      <c r="AB27" s="9">
        <v>4000</v>
      </c>
      <c r="AC27" s="11"/>
      <c r="AD27" s="68">
        <v>15750</v>
      </c>
      <c r="AE27" s="68">
        <v>28240</v>
      </c>
      <c r="AF27" s="68">
        <v>500</v>
      </c>
      <c r="AG27" s="10"/>
      <c r="AH27" s="68">
        <v>55000</v>
      </c>
      <c r="AI27" s="68">
        <v>23000</v>
      </c>
      <c r="AJ27" s="10"/>
      <c r="AK27" s="21"/>
      <c r="AL27" s="20"/>
      <c r="AM27" s="10"/>
      <c r="AN27" s="11"/>
      <c r="AO27" s="24"/>
      <c r="AP27" s="72"/>
      <c r="AR27" s="9">
        <v>1500</v>
      </c>
      <c r="AS27" s="9">
        <v>7500</v>
      </c>
      <c r="AT27" s="9">
        <v>1500</v>
      </c>
      <c r="AU27" s="9">
        <v>6000</v>
      </c>
      <c r="AV27" s="9">
        <v>4500</v>
      </c>
      <c r="AW27" s="9">
        <v>56000</v>
      </c>
      <c r="AX27" s="9">
        <v>2200</v>
      </c>
      <c r="AY27" s="9"/>
      <c r="AZ27" s="11"/>
      <c r="BA27" s="68">
        <v>110000</v>
      </c>
      <c r="BB27" s="68">
        <v>12700</v>
      </c>
      <c r="BC27" s="68">
        <v>7200</v>
      </c>
      <c r="BD27" s="10"/>
      <c r="BE27" s="68">
        <v>2000</v>
      </c>
      <c r="BF27" s="68">
        <v>8000</v>
      </c>
      <c r="BG27" s="68">
        <v>4000</v>
      </c>
      <c r="BH27" s="21"/>
      <c r="BI27" s="20"/>
      <c r="BJ27" s="10"/>
      <c r="BK27" s="11"/>
      <c r="BL27" s="24"/>
      <c r="BM27" s="72"/>
      <c r="BO27" s="9">
        <v>11000</v>
      </c>
      <c r="BP27" s="9">
        <v>15000</v>
      </c>
      <c r="BQ27" s="9">
        <v>1600</v>
      </c>
      <c r="BR27" s="9">
        <v>6500</v>
      </c>
      <c r="BS27" s="9">
        <v>10000</v>
      </c>
      <c r="BT27" s="9">
        <v>51000</v>
      </c>
      <c r="BU27" s="9"/>
      <c r="BV27" s="11"/>
      <c r="BW27" s="68">
        <v>64000</v>
      </c>
      <c r="BX27" s="68">
        <v>8500</v>
      </c>
      <c r="BY27" s="10"/>
      <c r="BZ27" s="10">
        <v>4000</v>
      </c>
      <c r="CA27" s="10">
        <v>3500</v>
      </c>
      <c r="CB27" s="10">
        <v>6000</v>
      </c>
      <c r="CC27" s="21"/>
      <c r="CD27" s="20" t="s">
        <v>50</v>
      </c>
      <c r="CE27" s="10">
        <v>280000</v>
      </c>
      <c r="CF27" s="11"/>
      <c r="CG27" s="24"/>
      <c r="CH27" s="72"/>
      <c r="CI27" s="24"/>
      <c r="CJ27" s="9">
        <v>15000</v>
      </c>
      <c r="CK27" s="9"/>
      <c r="CL27" s="9"/>
      <c r="CM27" s="9"/>
      <c r="CN27" s="9"/>
      <c r="CO27" s="9"/>
      <c r="CP27" s="9"/>
      <c r="CQ27" s="11"/>
      <c r="CR27" s="10"/>
      <c r="CS27" s="10"/>
      <c r="CT27" s="10"/>
      <c r="CU27" s="68">
        <v>5500</v>
      </c>
      <c r="CV27" s="10"/>
      <c r="CW27" s="10"/>
      <c r="CX27" s="21"/>
      <c r="CY27" s="20"/>
      <c r="CZ27" s="10"/>
      <c r="DA27" s="11"/>
      <c r="DB27" s="24"/>
      <c r="DC27" s="72"/>
    </row>
    <row r="28" spans="1:107">
      <c r="A28" s="9">
        <v>3000</v>
      </c>
      <c r="B28" s="9">
        <v>5000</v>
      </c>
      <c r="C28" s="9">
        <v>1000</v>
      </c>
      <c r="D28" s="9">
        <v>16500</v>
      </c>
      <c r="E28" s="9">
        <v>7000</v>
      </c>
      <c r="F28" s="9">
        <v>8800</v>
      </c>
      <c r="G28" s="9"/>
      <c r="H28" s="11"/>
      <c r="I28" s="68">
        <v>7690</v>
      </c>
      <c r="J28" s="68">
        <v>17290</v>
      </c>
      <c r="K28" s="10"/>
      <c r="L28" s="68">
        <v>8200</v>
      </c>
      <c r="M28" s="68">
        <v>27000</v>
      </c>
      <c r="N28" s="10"/>
      <c r="O28" s="21"/>
      <c r="P28" s="20" t="s">
        <v>53</v>
      </c>
      <c r="Q28" s="10">
        <v>300000</v>
      </c>
      <c r="R28" s="11"/>
      <c r="S28" s="24"/>
      <c r="T28" s="72"/>
      <c r="U28" s="24"/>
      <c r="V28" s="9">
        <v>10000</v>
      </c>
      <c r="W28" s="9">
        <v>2300</v>
      </c>
      <c r="X28" s="9">
        <v>10000</v>
      </c>
      <c r="Y28" s="9">
        <v>3000</v>
      </c>
      <c r="Z28" s="9">
        <v>17000</v>
      </c>
      <c r="AA28" s="9">
        <v>500</v>
      </c>
      <c r="AB28" s="9">
        <v>9000</v>
      </c>
      <c r="AC28" s="11"/>
      <c r="AD28" s="68">
        <v>3360</v>
      </c>
      <c r="AE28" s="68">
        <v>28820</v>
      </c>
      <c r="AF28" s="68">
        <v>5300</v>
      </c>
      <c r="AG28" s="10"/>
      <c r="AH28" s="68">
        <v>3750</v>
      </c>
      <c r="AI28" s="68">
        <v>9000</v>
      </c>
      <c r="AJ28" s="10"/>
      <c r="AK28" s="21"/>
      <c r="AL28" s="20"/>
      <c r="AM28" s="10"/>
      <c r="AN28" s="11"/>
      <c r="AO28" s="24"/>
      <c r="AP28" s="72"/>
      <c r="AR28" s="9">
        <v>7000</v>
      </c>
      <c r="AS28" s="9">
        <v>4000</v>
      </c>
      <c r="AT28" s="9">
        <v>5500</v>
      </c>
      <c r="AU28" s="9">
        <v>2000</v>
      </c>
      <c r="AV28" s="9">
        <v>10000</v>
      </c>
      <c r="AW28" s="9">
        <v>5000</v>
      </c>
      <c r="AX28" s="9">
        <v>5000</v>
      </c>
      <c r="AY28" s="9"/>
      <c r="AZ28" s="11"/>
      <c r="BA28" s="68">
        <v>5500</v>
      </c>
      <c r="BB28" s="68">
        <v>5080</v>
      </c>
      <c r="BC28" s="68">
        <v>2500</v>
      </c>
      <c r="BD28" s="10"/>
      <c r="BE28" s="68">
        <v>10000</v>
      </c>
      <c r="BF28" s="68">
        <v>9000</v>
      </c>
      <c r="BG28" s="68">
        <v>10000</v>
      </c>
      <c r="BH28" s="21"/>
      <c r="BI28" s="20"/>
      <c r="BJ28" s="10"/>
      <c r="BK28" s="11"/>
      <c r="BL28" s="24"/>
      <c r="BM28" s="72"/>
      <c r="BO28" s="9">
        <v>67500</v>
      </c>
      <c r="BP28" s="9">
        <v>12000</v>
      </c>
      <c r="BQ28" s="9">
        <v>6500</v>
      </c>
      <c r="BR28" s="9">
        <v>1200</v>
      </c>
      <c r="BS28" s="9">
        <v>1500</v>
      </c>
      <c r="BT28" s="9">
        <v>3100</v>
      </c>
      <c r="BU28" s="9"/>
      <c r="BV28" s="11"/>
      <c r="BW28" s="68">
        <v>25500</v>
      </c>
      <c r="BX28" s="68">
        <v>301940</v>
      </c>
      <c r="BY28" s="10"/>
      <c r="BZ28" s="10">
        <v>4500</v>
      </c>
      <c r="CA28" s="10">
        <v>21000</v>
      </c>
      <c r="CB28" s="10"/>
      <c r="CC28" s="21"/>
      <c r="CD28" s="20" t="s">
        <v>53</v>
      </c>
      <c r="CE28" s="10">
        <v>300000</v>
      </c>
      <c r="CF28" s="11"/>
      <c r="CG28" s="24"/>
      <c r="CH28" s="72"/>
      <c r="CI28" s="24"/>
      <c r="CJ28" s="9">
        <v>2500</v>
      </c>
      <c r="CK28" s="9"/>
      <c r="CL28" s="9"/>
      <c r="CM28" s="9"/>
      <c r="CN28" s="9"/>
      <c r="CO28" s="9"/>
      <c r="CP28" s="9"/>
      <c r="CQ28" s="11"/>
      <c r="CR28" s="10"/>
      <c r="CS28" s="10"/>
      <c r="CT28" s="10"/>
      <c r="CU28" s="68">
        <v>22000</v>
      </c>
      <c r="CV28" s="10"/>
      <c r="CW28" s="10"/>
      <c r="CX28" s="21"/>
      <c r="CY28" s="20"/>
      <c r="CZ28" s="10"/>
      <c r="DA28" s="11"/>
      <c r="DB28" s="24"/>
      <c r="DC28" s="72"/>
    </row>
    <row r="29" spans="1:107">
      <c r="A29" s="9">
        <v>6000</v>
      </c>
      <c r="B29" s="9">
        <v>10500</v>
      </c>
      <c r="C29" s="9">
        <v>2200</v>
      </c>
      <c r="D29" s="9">
        <v>950</v>
      </c>
      <c r="E29" s="9">
        <v>6000</v>
      </c>
      <c r="F29" s="9">
        <v>2500</v>
      </c>
      <c r="G29" s="9"/>
      <c r="H29" s="11"/>
      <c r="I29" s="68">
        <v>29780</v>
      </c>
      <c r="J29" s="68">
        <v>21340</v>
      </c>
      <c r="K29" s="10"/>
      <c r="L29" s="68">
        <v>9000</v>
      </c>
      <c r="M29" s="68">
        <v>4500</v>
      </c>
      <c r="N29" s="10"/>
      <c r="O29" s="21"/>
      <c r="P29" s="20"/>
      <c r="Q29" s="10"/>
      <c r="R29" s="11"/>
      <c r="S29" s="24"/>
      <c r="T29" s="72"/>
      <c r="U29" s="24"/>
      <c r="V29" s="9">
        <v>12000</v>
      </c>
      <c r="W29" s="9">
        <v>1350</v>
      </c>
      <c r="X29" s="9">
        <v>500</v>
      </c>
      <c r="Y29" s="9">
        <v>4000</v>
      </c>
      <c r="Z29" s="9">
        <v>1600</v>
      </c>
      <c r="AA29" s="9">
        <v>2000</v>
      </c>
      <c r="AB29" s="9">
        <v>5500</v>
      </c>
      <c r="AC29" s="11"/>
      <c r="AD29" s="68">
        <v>2400</v>
      </c>
      <c r="AE29" s="68">
        <v>15840</v>
      </c>
      <c r="AF29" s="68">
        <v>4400</v>
      </c>
      <c r="AG29" s="10"/>
      <c r="AH29" s="68">
        <v>2000</v>
      </c>
      <c r="AI29" s="68">
        <v>20000</v>
      </c>
      <c r="AJ29" s="10"/>
      <c r="AK29" s="21"/>
      <c r="AL29" s="20"/>
      <c r="AM29" s="10"/>
      <c r="AN29" s="11"/>
      <c r="AO29" s="24"/>
      <c r="AP29" s="72"/>
      <c r="AR29" s="9">
        <v>12000</v>
      </c>
      <c r="AS29" s="9">
        <v>1000</v>
      </c>
      <c r="AT29" s="9">
        <v>7400</v>
      </c>
      <c r="AU29" s="9">
        <v>3000</v>
      </c>
      <c r="AV29" s="9">
        <v>11000</v>
      </c>
      <c r="AW29" s="9">
        <v>5500</v>
      </c>
      <c r="AX29" s="9">
        <v>1500</v>
      </c>
      <c r="AY29" s="9"/>
      <c r="AZ29" s="11"/>
      <c r="BA29" s="68">
        <v>16500</v>
      </c>
      <c r="BB29" s="68">
        <v>2000</v>
      </c>
      <c r="BC29" s="68">
        <v>6100</v>
      </c>
      <c r="BD29" s="10"/>
      <c r="BE29" s="68">
        <v>3000</v>
      </c>
      <c r="BF29" s="68">
        <v>7200</v>
      </c>
      <c r="BG29" s="68">
        <v>23000</v>
      </c>
      <c r="BH29" s="21"/>
      <c r="BI29" s="20"/>
      <c r="BJ29" s="10"/>
      <c r="BK29" s="11"/>
      <c r="BL29" s="24"/>
      <c r="BM29" s="72"/>
      <c r="BO29" s="9">
        <v>400</v>
      </c>
      <c r="BP29" s="9">
        <v>1600</v>
      </c>
      <c r="BQ29" s="9">
        <v>5000</v>
      </c>
      <c r="BR29" s="9">
        <v>1000</v>
      </c>
      <c r="BS29" s="9">
        <v>4000</v>
      </c>
      <c r="BT29" s="9">
        <v>17300</v>
      </c>
      <c r="BU29" s="9"/>
      <c r="BV29" s="11"/>
      <c r="BW29" s="68">
        <v>4500</v>
      </c>
      <c r="BX29" s="68">
        <v>4320</v>
      </c>
      <c r="BY29" s="10"/>
      <c r="BZ29" s="10">
        <v>10500</v>
      </c>
      <c r="CA29" s="10">
        <v>2900</v>
      </c>
      <c r="CB29" s="10"/>
      <c r="CC29" s="21"/>
      <c r="CD29" s="20"/>
      <c r="CE29" s="10"/>
      <c r="CF29" s="11"/>
      <c r="CG29" s="24"/>
      <c r="CH29" s="72"/>
      <c r="CI29" s="24"/>
      <c r="CJ29" s="9">
        <v>11000</v>
      </c>
      <c r="CK29" s="9"/>
      <c r="CL29" s="9"/>
      <c r="CM29" s="9"/>
      <c r="CN29" s="9"/>
      <c r="CO29" s="9"/>
      <c r="CP29" s="9"/>
      <c r="CQ29" s="11"/>
      <c r="CR29" s="10"/>
      <c r="CS29" s="10"/>
      <c r="CT29" s="10"/>
      <c r="CU29" s="68">
        <v>9000</v>
      </c>
      <c r="CV29" s="10"/>
      <c r="CW29" s="10"/>
      <c r="CX29" s="21"/>
      <c r="CY29" s="20"/>
      <c r="CZ29" s="10"/>
      <c r="DA29" s="11"/>
      <c r="DB29" s="24"/>
      <c r="DC29" s="72"/>
    </row>
    <row r="30" spans="1:107">
      <c r="A30" s="9">
        <v>4000</v>
      </c>
      <c r="B30" s="9">
        <v>1500</v>
      </c>
      <c r="C30" s="9">
        <v>4100</v>
      </c>
      <c r="D30" s="9">
        <v>37700</v>
      </c>
      <c r="E30" s="9">
        <v>4600</v>
      </c>
      <c r="F30" s="9">
        <v>11100</v>
      </c>
      <c r="G30" s="9"/>
      <c r="H30" s="11"/>
      <c r="I30" s="68">
        <v>3700</v>
      </c>
      <c r="J30" s="68">
        <v>4150</v>
      </c>
      <c r="K30" s="10"/>
      <c r="L30" s="68">
        <v>18500</v>
      </c>
      <c r="M30" s="68">
        <v>3500</v>
      </c>
      <c r="N30" s="10"/>
      <c r="O30" s="21"/>
      <c r="P30" s="20"/>
      <c r="Q30" s="10"/>
      <c r="R30" s="11"/>
      <c r="S30" s="24"/>
      <c r="T30" s="72"/>
      <c r="U30" s="24"/>
      <c r="V30" s="9">
        <v>2500</v>
      </c>
      <c r="W30" s="9">
        <v>1000</v>
      </c>
      <c r="X30" s="9">
        <v>6200</v>
      </c>
      <c r="Y30" s="9">
        <v>5400</v>
      </c>
      <c r="Z30" s="9">
        <v>3000</v>
      </c>
      <c r="AA30" s="9">
        <v>5500</v>
      </c>
      <c r="AB30" s="9">
        <v>3500</v>
      </c>
      <c r="AC30" s="11"/>
      <c r="AD30" s="68">
        <v>12680</v>
      </c>
      <c r="AE30" s="68">
        <v>10000</v>
      </c>
      <c r="AF30" s="68">
        <v>2000</v>
      </c>
      <c r="AG30" s="10"/>
      <c r="AH30" s="68">
        <v>8000</v>
      </c>
      <c r="AI30" s="68">
        <v>23500</v>
      </c>
      <c r="AJ30" s="10"/>
      <c r="AK30" s="21"/>
      <c r="AL30" s="20"/>
      <c r="AM30" s="10"/>
      <c r="AN30" s="11"/>
      <c r="AO30" s="24"/>
      <c r="AP30" s="72"/>
      <c r="AR30" s="9">
        <v>6000</v>
      </c>
      <c r="AS30" s="9">
        <v>10500</v>
      </c>
      <c r="AT30" s="9">
        <v>3500</v>
      </c>
      <c r="AU30" s="9">
        <v>5500</v>
      </c>
      <c r="AV30" s="9">
        <v>25500</v>
      </c>
      <c r="AW30" s="9">
        <v>5500</v>
      </c>
      <c r="AX30" s="9">
        <v>2000</v>
      </c>
      <c r="AY30" s="9"/>
      <c r="AZ30" s="11"/>
      <c r="BA30" s="68">
        <v>20000</v>
      </c>
      <c r="BB30" s="68">
        <v>3500</v>
      </c>
      <c r="BC30" s="68">
        <v>10000</v>
      </c>
      <c r="BD30" s="10"/>
      <c r="BE30" s="68">
        <v>2400</v>
      </c>
      <c r="BF30" s="68">
        <v>4000</v>
      </c>
      <c r="BG30" s="68">
        <v>8500</v>
      </c>
      <c r="BH30" s="21"/>
      <c r="BI30" s="20"/>
      <c r="BJ30" s="10"/>
      <c r="BK30" s="11"/>
      <c r="BL30" s="24"/>
      <c r="BM30" s="72"/>
      <c r="BO30" s="9">
        <v>17000</v>
      </c>
      <c r="BP30" s="9">
        <v>4500</v>
      </c>
      <c r="BQ30" s="9">
        <v>1000</v>
      </c>
      <c r="BR30" s="9">
        <v>33000</v>
      </c>
      <c r="BS30" s="9">
        <v>1500</v>
      </c>
      <c r="BT30" s="9">
        <v>4500</v>
      </c>
      <c r="BU30" s="9"/>
      <c r="BV30" s="11"/>
      <c r="BW30" s="68">
        <v>18000</v>
      </c>
      <c r="BX30" s="68">
        <v>1920</v>
      </c>
      <c r="BY30" s="10"/>
      <c r="BZ30" s="10">
        <v>8500</v>
      </c>
      <c r="CA30" s="10">
        <v>2000</v>
      </c>
      <c r="CB30" s="10"/>
      <c r="CC30" s="21"/>
      <c r="CD30" s="20"/>
      <c r="CE30" s="10"/>
      <c r="CF30" s="11"/>
      <c r="CG30" s="24"/>
      <c r="CH30" s="72"/>
      <c r="CI30" s="24"/>
      <c r="CJ30" s="9">
        <v>21000</v>
      </c>
      <c r="CK30" s="9"/>
      <c r="CL30" s="9"/>
      <c r="CM30" s="9"/>
      <c r="CN30" s="9"/>
      <c r="CO30" s="9"/>
      <c r="CP30" s="9"/>
      <c r="CQ30" s="11"/>
      <c r="CR30" s="10"/>
      <c r="CS30" s="10"/>
      <c r="CT30" s="10"/>
      <c r="CU30" s="68">
        <v>7000</v>
      </c>
      <c r="CV30" s="10"/>
      <c r="CW30" s="10"/>
      <c r="CX30" s="21"/>
      <c r="CY30" s="20"/>
      <c r="CZ30" s="10"/>
      <c r="DA30" s="11"/>
      <c r="DB30" s="24"/>
      <c r="DC30" s="72"/>
    </row>
    <row r="31" spans="1:107">
      <c r="A31" s="9">
        <v>1000</v>
      </c>
      <c r="B31" s="9">
        <v>400</v>
      </c>
      <c r="C31" s="9">
        <v>3200</v>
      </c>
      <c r="D31" s="9">
        <v>30000</v>
      </c>
      <c r="E31" s="9">
        <v>5000</v>
      </c>
      <c r="F31" s="9">
        <v>5500</v>
      </c>
      <c r="G31" s="9"/>
      <c r="H31" s="11"/>
      <c r="I31" s="68">
        <v>24390</v>
      </c>
      <c r="J31" s="68">
        <v>5000</v>
      </c>
      <c r="K31" s="10"/>
      <c r="L31" s="68">
        <v>2500</v>
      </c>
      <c r="M31" s="68">
        <v>1000</v>
      </c>
      <c r="N31" s="10"/>
      <c r="O31" s="21"/>
      <c r="P31" s="20"/>
      <c r="Q31" s="10"/>
      <c r="R31" s="11"/>
      <c r="S31" s="24"/>
      <c r="T31" s="72"/>
      <c r="U31" s="24"/>
      <c r="V31" s="9">
        <v>1500</v>
      </c>
      <c r="W31" s="9">
        <v>400</v>
      </c>
      <c r="X31" s="9">
        <v>1400</v>
      </c>
      <c r="Y31" s="9">
        <v>700</v>
      </c>
      <c r="Z31" s="9">
        <v>6000</v>
      </c>
      <c r="AA31" s="9">
        <v>4000</v>
      </c>
      <c r="AB31" s="9">
        <v>139000</v>
      </c>
      <c r="AC31" s="11"/>
      <c r="AD31" s="68">
        <v>21610</v>
      </c>
      <c r="AE31" s="68">
        <v>8000</v>
      </c>
      <c r="AF31" s="68">
        <v>19210</v>
      </c>
      <c r="AG31" s="10"/>
      <c r="AH31" s="68">
        <v>25000</v>
      </c>
      <c r="AI31" s="68">
        <v>10500</v>
      </c>
      <c r="AJ31" s="10"/>
      <c r="AK31" s="21"/>
      <c r="AL31" s="20"/>
      <c r="AM31" s="10"/>
      <c r="AN31" s="11"/>
      <c r="AO31" s="24"/>
      <c r="AP31" s="72"/>
      <c r="AR31" s="9">
        <v>10000</v>
      </c>
      <c r="AS31" s="9">
        <v>4000</v>
      </c>
      <c r="AT31" s="9">
        <v>7500</v>
      </c>
      <c r="AU31" s="9">
        <v>10000</v>
      </c>
      <c r="AV31" s="9">
        <v>3000</v>
      </c>
      <c r="AW31" s="9">
        <v>1500</v>
      </c>
      <c r="AX31" s="9">
        <v>8500</v>
      </c>
      <c r="AY31" s="9"/>
      <c r="AZ31" s="11"/>
      <c r="BA31" s="68">
        <v>108400</v>
      </c>
      <c r="BB31" s="68">
        <v>7200</v>
      </c>
      <c r="BC31" s="68">
        <v>9300</v>
      </c>
      <c r="BD31" s="10"/>
      <c r="BE31" s="68">
        <v>14000</v>
      </c>
      <c r="BF31" s="68">
        <v>4500</v>
      </c>
      <c r="BG31" s="10"/>
      <c r="BH31" s="21"/>
      <c r="BI31" s="20" t="s">
        <v>50</v>
      </c>
      <c r="BJ31" s="10">
        <v>300000</v>
      </c>
      <c r="BK31" s="11"/>
      <c r="BL31" s="24"/>
      <c r="BM31" s="72"/>
      <c r="BO31" s="9">
        <v>17000</v>
      </c>
      <c r="BP31" s="9">
        <v>2000</v>
      </c>
      <c r="BQ31" s="9">
        <v>21000</v>
      </c>
      <c r="BR31" s="9">
        <v>20200</v>
      </c>
      <c r="BS31" s="9">
        <v>13800</v>
      </c>
      <c r="BT31" s="9">
        <v>5000</v>
      </c>
      <c r="BU31" s="9"/>
      <c r="BV31" s="11"/>
      <c r="BW31" s="68">
        <v>6000</v>
      </c>
      <c r="BX31" s="68">
        <v>1920</v>
      </c>
      <c r="BY31" s="10"/>
      <c r="BZ31" s="10">
        <v>55000</v>
      </c>
      <c r="CA31" s="10">
        <v>9000</v>
      </c>
      <c r="CB31" s="10"/>
      <c r="CC31" s="21"/>
      <c r="CD31" s="20"/>
      <c r="CE31" s="10"/>
      <c r="CF31" s="11"/>
      <c r="CG31" s="24"/>
      <c r="CH31" s="72"/>
      <c r="CI31" s="24"/>
      <c r="CJ31" s="9">
        <v>1500</v>
      </c>
      <c r="CK31" s="9"/>
      <c r="CL31" s="9"/>
      <c r="CM31" s="9"/>
      <c r="CN31" s="9"/>
      <c r="CO31" s="9"/>
      <c r="CP31" s="9"/>
      <c r="CQ31" s="11"/>
      <c r="CR31" s="10"/>
      <c r="CS31" s="10"/>
      <c r="CT31" s="10"/>
      <c r="CU31" s="10"/>
      <c r="CV31" s="10"/>
      <c r="CW31" s="10"/>
      <c r="CX31" s="21"/>
      <c r="CY31" s="20"/>
      <c r="CZ31" s="10"/>
      <c r="DA31" s="11"/>
      <c r="DB31" s="24"/>
      <c r="DC31" s="72"/>
    </row>
    <row r="32" spans="1:107">
      <c r="A32" s="9">
        <v>10000</v>
      </c>
      <c r="B32" s="9">
        <v>2000</v>
      </c>
      <c r="C32" s="9">
        <v>4100</v>
      </c>
      <c r="D32" s="9">
        <v>6500</v>
      </c>
      <c r="E32" s="9">
        <v>11500</v>
      </c>
      <c r="F32" s="9">
        <v>6100</v>
      </c>
      <c r="G32" s="9"/>
      <c r="H32" s="11"/>
      <c r="I32" s="68">
        <v>5540</v>
      </c>
      <c r="J32" s="68">
        <v>5770</v>
      </c>
      <c r="K32" s="10"/>
      <c r="L32" s="68">
        <v>25000</v>
      </c>
      <c r="M32" s="68">
        <v>1500</v>
      </c>
      <c r="N32" s="10"/>
      <c r="O32" s="21"/>
      <c r="P32" s="20"/>
      <c r="Q32" s="10"/>
      <c r="R32" s="11"/>
      <c r="S32" s="24"/>
      <c r="T32" s="72"/>
      <c r="U32" s="24"/>
      <c r="V32" s="9">
        <v>10200</v>
      </c>
      <c r="W32" s="9">
        <v>2300</v>
      </c>
      <c r="X32" s="9">
        <v>1000</v>
      </c>
      <c r="Y32" s="9">
        <v>7500</v>
      </c>
      <c r="Z32" s="9">
        <v>3500</v>
      </c>
      <c r="AA32" s="9">
        <v>65000</v>
      </c>
      <c r="AB32" s="9"/>
      <c r="AC32" s="11"/>
      <c r="AD32" s="68">
        <v>2210</v>
      </c>
      <c r="AE32" s="68">
        <v>8000</v>
      </c>
      <c r="AF32" s="68">
        <v>17270</v>
      </c>
      <c r="AG32" s="10"/>
      <c r="AH32" s="68">
        <v>30000</v>
      </c>
      <c r="AI32" s="68">
        <v>600</v>
      </c>
      <c r="AJ32" s="10"/>
      <c r="AK32" s="21"/>
      <c r="AL32" s="20" t="s">
        <v>50</v>
      </c>
      <c r="AM32" s="10">
        <v>257600</v>
      </c>
      <c r="AN32" s="11"/>
      <c r="AO32" s="24"/>
      <c r="AP32" s="72"/>
      <c r="AR32" s="9">
        <v>4500</v>
      </c>
      <c r="AS32" s="9">
        <v>31000</v>
      </c>
      <c r="AT32" s="9">
        <v>2600</v>
      </c>
      <c r="AU32" s="9">
        <v>4500</v>
      </c>
      <c r="AV32" s="9">
        <v>1000</v>
      </c>
      <c r="AW32" s="9">
        <v>600</v>
      </c>
      <c r="AX32" s="9">
        <v>2500</v>
      </c>
      <c r="AY32" s="9"/>
      <c r="AZ32" s="11"/>
      <c r="BA32" s="68">
        <v>4000</v>
      </c>
      <c r="BB32" s="68">
        <v>770</v>
      </c>
      <c r="BC32" s="68">
        <v>12000</v>
      </c>
      <c r="BD32" s="10"/>
      <c r="BE32" s="68">
        <v>4300</v>
      </c>
      <c r="BF32" s="68">
        <v>330000</v>
      </c>
      <c r="BG32" s="10"/>
      <c r="BH32" s="21"/>
      <c r="BI32" s="20" t="s">
        <v>53</v>
      </c>
      <c r="BJ32" s="10">
        <v>300000</v>
      </c>
      <c r="BK32" s="11"/>
      <c r="BL32" s="24"/>
      <c r="BM32" s="72"/>
      <c r="BO32" s="9">
        <v>1300</v>
      </c>
      <c r="BP32" s="9">
        <v>30000</v>
      </c>
      <c r="BQ32" s="9">
        <v>8500</v>
      </c>
      <c r="BR32" s="9">
        <v>45000</v>
      </c>
      <c r="BS32" s="9">
        <v>20500</v>
      </c>
      <c r="BT32" s="9">
        <v>14500</v>
      </c>
      <c r="BU32" s="9"/>
      <c r="BV32" s="11"/>
      <c r="BW32" s="68">
        <v>500</v>
      </c>
      <c r="BX32" s="68">
        <v>9240</v>
      </c>
      <c r="BY32" s="10"/>
      <c r="BZ32" s="10">
        <v>77000</v>
      </c>
      <c r="CA32" s="10">
        <v>7000</v>
      </c>
      <c r="CB32" s="10"/>
      <c r="CC32" s="21"/>
      <c r="CD32" s="20"/>
      <c r="CE32" s="10"/>
      <c r="CF32" s="11"/>
      <c r="CG32" s="24"/>
      <c r="CH32" s="72"/>
      <c r="CI32" s="24"/>
      <c r="CJ32" s="9">
        <v>2200</v>
      </c>
      <c r="CK32" s="9"/>
      <c r="CL32" s="9"/>
      <c r="CM32" s="9"/>
      <c r="CN32" s="9"/>
      <c r="CO32" s="9"/>
      <c r="CP32" s="9"/>
      <c r="CQ32" s="11"/>
      <c r="CR32" s="10"/>
      <c r="CS32" s="10"/>
      <c r="CT32" s="10"/>
      <c r="CU32" s="10"/>
      <c r="CV32" s="10"/>
      <c r="CW32" s="10"/>
      <c r="CX32" s="21"/>
      <c r="CY32" s="20"/>
      <c r="CZ32" s="10"/>
      <c r="DA32" s="11"/>
      <c r="DB32" s="24"/>
      <c r="DC32" s="72"/>
    </row>
    <row r="33" spans="1:107">
      <c r="A33" s="9">
        <v>500</v>
      </c>
      <c r="B33" s="9">
        <v>11000</v>
      </c>
      <c r="C33" s="9">
        <v>11000</v>
      </c>
      <c r="D33" s="9">
        <v>5500</v>
      </c>
      <c r="E33" s="9">
        <v>2500</v>
      </c>
      <c r="F33" s="9">
        <v>4000</v>
      </c>
      <c r="G33" s="9"/>
      <c r="H33" s="11"/>
      <c r="I33" s="68">
        <v>40000</v>
      </c>
      <c r="J33" s="68">
        <v>4800</v>
      </c>
      <c r="K33" s="10"/>
      <c r="L33" s="68">
        <v>20000</v>
      </c>
      <c r="M33" s="68">
        <v>7100</v>
      </c>
      <c r="N33" s="10"/>
      <c r="O33" s="21"/>
      <c r="P33" s="20"/>
      <c r="Q33" s="10"/>
      <c r="R33" s="11"/>
      <c r="S33" s="24"/>
      <c r="T33" s="72"/>
      <c r="U33" s="24"/>
      <c r="V33" s="9">
        <v>20000</v>
      </c>
      <c r="W33" s="9">
        <v>2000</v>
      </c>
      <c r="X33" s="9">
        <v>2100</v>
      </c>
      <c r="Y33" s="9">
        <v>5000</v>
      </c>
      <c r="Z33" s="9">
        <v>26750</v>
      </c>
      <c r="AA33" s="9">
        <v>5000</v>
      </c>
      <c r="AB33" s="9"/>
      <c r="AC33" s="11"/>
      <c r="AD33" s="68">
        <v>2000</v>
      </c>
      <c r="AE33" s="68">
        <v>600</v>
      </c>
      <c r="AF33" s="68">
        <v>22570</v>
      </c>
      <c r="AG33" s="10"/>
      <c r="AH33" s="68">
        <v>13900</v>
      </c>
      <c r="AI33" s="68">
        <v>16600</v>
      </c>
      <c r="AJ33" s="10"/>
      <c r="AK33" s="21"/>
      <c r="AL33" s="20" t="s">
        <v>53</v>
      </c>
      <c r="AM33" s="10">
        <v>300000</v>
      </c>
      <c r="AN33" s="11"/>
      <c r="AO33" s="24"/>
      <c r="AP33" s="72"/>
      <c r="AR33" s="9">
        <v>500</v>
      </c>
      <c r="AS33" s="9">
        <v>3000</v>
      </c>
      <c r="AT33" s="9">
        <v>2500</v>
      </c>
      <c r="AU33" s="9">
        <v>4500</v>
      </c>
      <c r="AV33" s="9">
        <v>32000</v>
      </c>
      <c r="AW33" s="9">
        <v>25000</v>
      </c>
      <c r="AX33" s="9">
        <v>8000</v>
      </c>
      <c r="AY33" s="9"/>
      <c r="AZ33" s="11"/>
      <c r="BA33" s="68">
        <v>2000</v>
      </c>
      <c r="BB33" s="68">
        <v>6050</v>
      </c>
      <c r="BC33" s="68">
        <v>5800</v>
      </c>
      <c r="BD33" s="10"/>
      <c r="BE33" s="68">
        <v>50000</v>
      </c>
      <c r="BF33" s="68">
        <v>19000</v>
      </c>
      <c r="BG33" s="10"/>
      <c r="BH33" s="21"/>
      <c r="BI33" s="20"/>
      <c r="BJ33" s="10"/>
      <c r="BK33" s="11"/>
      <c r="BL33" s="24"/>
      <c r="BM33" s="72"/>
      <c r="BO33" s="9">
        <v>3650</v>
      </c>
      <c r="BP33" s="9">
        <v>3000</v>
      </c>
      <c r="BQ33" s="9">
        <v>13500</v>
      </c>
      <c r="BR33" s="9">
        <v>1200</v>
      </c>
      <c r="BS33" s="9">
        <v>5000</v>
      </c>
      <c r="BT33" s="9">
        <v>10000</v>
      </c>
      <c r="BU33" s="9"/>
      <c r="BV33" s="11"/>
      <c r="BW33" s="68">
        <v>7390</v>
      </c>
      <c r="BX33" s="68">
        <v>7210</v>
      </c>
      <c r="BY33" s="10"/>
      <c r="BZ33" s="10">
        <v>8000</v>
      </c>
      <c r="CA33" s="10">
        <v>12000</v>
      </c>
      <c r="CB33" s="10"/>
      <c r="CC33" s="21"/>
      <c r="CD33" s="20"/>
      <c r="CE33" s="10"/>
      <c r="CF33" s="11"/>
      <c r="CG33" s="24"/>
      <c r="CH33" s="72"/>
      <c r="CI33" s="24"/>
      <c r="CJ33" s="9">
        <v>1000</v>
      </c>
      <c r="CK33" s="9"/>
      <c r="CL33" s="9"/>
      <c r="CM33" s="9"/>
      <c r="CN33" s="9"/>
      <c r="CO33" s="9"/>
      <c r="CP33" s="9"/>
      <c r="CQ33" s="11"/>
      <c r="CR33" s="10"/>
      <c r="CS33" s="10"/>
      <c r="CT33" s="10"/>
      <c r="CU33" s="10"/>
      <c r="CV33" s="10"/>
      <c r="CW33" s="10"/>
      <c r="CX33" s="21"/>
      <c r="CY33" s="20"/>
      <c r="CZ33" s="10"/>
      <c r="DA33" s="11"/>
      <c r="DB33" s="24"/>
      <c r="DC33" s="72"/>
    </row>
    <row r="34" spans="1:107">
      <c r="A34" s="9">
        <v>3000</v>
      </c>
      <c r="B34" s="9">
        <v>1500</v>
      </c>
      <c r="C34" s="9">
        <v>800</v>
      </c>
      <c r="D34" s="9">
        <v>4000</v>
      </c>
      <c r="E34" s="9">
        <v>14000</v>
      </c>
      <c r="F34" s="9">
        <v>13000</v>
      </c>
      <c r="G34" s="9"/>
      <c r="H34" s="11"/>
      <c r="I34" s="68">
        <v>3000</v>
      </c>
      <c r="J34" s="68">
        <v>23270</v>
      </c>
      <c r="K34" s="10"/>
      <c r="L34" s="68">
        <v>9000</v>
      </c>
      <c r="M34" s="68">
        <v>9500</v>
      </c>
      <c r="N34" s="10"/>
      <c r="O34" s="21"/>
      <c r="P34" s="20"/>
      <c r="Q34" s="10"/>
      <c r="R34" s="11"/>
      <c r="S34" s="24"/>
      <c r="T34" s="72"/>
      <c r="U34" s="24"/>
      <c r="V34" s="9">
        <v>2000</v>
      </c>
      <c r="W34" s="9">
        <v>4500</v>
      </c>
      <c r="X34" s="9">
        <v>2500</v>
      </c>
      <c r="Y34" s="9">
        <v>3000</v>
      </c>
      <c r="Z34" s="9">
        <v>2500</v>
      </c>
      <c r="AA34" s="9">
        <v>8500</v>
      </c>
      <c r="AB34" s="9"/>
      <c r="AC34" s="11"/>
      <c r="AD34" s="68">
        <v>19000</v>
      </c>
      <c r="AE34" s="68">
        <v>2700</v>
      </c>
      <c r="AF34" s="68">
        <v>34000</v>
      </c>
      <c r="AG34" s="10"/>
      <c r="AH34" s="68">
        <v>7600</v>
      </c>
      <c r="AI34" s="68">
        <v>12000</v>
      </c>
      <c r="AJ34" s="10"/>
      <c r="AK34" s="21"/>
      <c r="AL34" s="20"/>
      <c r="AM34" s="10"/>
      <c r="AN34" s="11"/>
      <c r="AO34" s="24"/>
      <c r="AP34" s="72"/>
      <c r="AR34" s="9">
        <v>2500</v>
      </c>
      <c r="AS34" s="9">
        <v>39600</v>
      </c>
      <c r="AT34" s="9">
        <v>34000</v>
      </c>
      <c r="AU34" s="9">
        <v>10700</v>
      </c>
      <c r="AV34" s="9">
        <v>2300</v>
      </c>
      <c r="AW34" s="9">
        <v>2400</v>
      </c>
      <c r="AX34" s="9">
        <v>4000</v>
      </c>
      <c r="AY34" s="9"/>
      <c r="AZ34" s="11"/>
      <c r="BA34" s="68">
        <v>1000</v>
      </c>
      <c r="BB34" s="68">
        <v>30000</v>
      </c>
      <c r="BC34" s="68">
        <v>18000</v>
      </c>
      <c r="BD34" s="10"/>
      <c r="BE34" s="68">
        <v>4600</v>
      </c>
      <c r="BF34" s="68">
        <v>14500</v>
      </c>
      <c r="BG34" s="10"/>
      <c r="BH34" s="21"/>
      <c r="BI34" s="20"/>
      <c r="BJ34" s="10"/>
      <c r="BK34" s="11"/>
      <c r="BL34" s="24"/>
      <c r="BM34" s="72"/>
      <c r="BO34" s="9">
        <v>2500</v>
      </c>
      <c r="BP34" s="9">
        <v>24000</v>
      </c>
      <c r="BQ34" s="9">
        <v>21500</v>
      </c>
      <c r="BR34" s="9">
        <v>5400</v>
      </c>
      <c r="BS34" s="9">
        <v>2000</v>
      </c>
      <c r="BT34" s="9">
        <v>4600</v>
      </c>
      <c r="BU34" s="9"/>
      <c r="BV34" s="11"/>
      <c r="BW34" s="68">
        <v>38430</v>
      </c>
      <c r="BX34" s="68">
        <v>22100</v>
      </c>
      <c r="BY34" s="10"/>
      <c r="BZ34" s="10">
        <v>2000</v>
      </c>
      <c r="CA34" s="10">
        <v>6000</v>
      </c>
      <c r="CB34" s="10"/>
      <c r="CC34" s="21"/>
      <c r="CD34" s="20"/>
      <c r="CE34" s="10"/>
      <c r="CF34" s="11"/>
      <c r="CG34" s="24"/>
      <c r="CH34" s="72"/>
      <c r="CI34" s="24"/>
      <c r="CJ34" s="9">
        <v>25000</v>
      </c>
      <c r="CK34" s="9"/>
      <c r="CL34" s="9"/>
      <c r="CM34" s="9"/>
      <c r="CN34" s="9"/>
      <c r="CO34" s="9"/>
      <c r="CP34" s="9"/>
      <c r="CQ34" s="11"/>
      <c r="CR34" s="10"/>
      <c r="CS34" s="10"/>
      <c r="CT34" s="10"/>
      <c r="CU34" s="10"/>
      <c r="CV34" s="10"/>
      <c r="CW34" s="10"/>
      <c r="CX34" s="21"/>
      <c r="CY34" s="20"/>
      <c r="CZ34" s="10"/>
      <c r="DA34" s="11"/>
      <c r="DB34" s="24"/>
      <c r="DC34" s="72"/>
    </row>
    <row r="35" spans="1:107">
      <c r="A35" s="9">
        <v>12000</v>
      </c>
      <c r="B35" s="9">
        <v>3500</v>
      </c>
      <c r="C35" s="9">
        <v>1000</v>
      </c>
      <c r="D35" s="9">
        <v>24000</v>
      </c>
      <c r="E35" s="9">
        <v>4500</v>
      </c>
      <c r="F35" s="9">
        <v>5000</v>
      </c>
      <c r="G35" s="9"/>
      <c r="H35" s="11"/>
      <c r="I35" s="68">
        <v>76000</v>
      </c>
      <c r="J35" s="68">
        <v>11530</v>
      </c>
      <c r="K35" s="10"/>
      <c r="L35" s="68">
        <v>3500</v>
      </c>
      <c r="M35" s="68">
        <v>25000</v>
      </c>
      <c r="N35" s="10"/>
      <c r="O35" s="21"/>
      <c r="P35" s="20"/>
      <c r="Q35" s="10"/>
      <c r="R35" s="11"/>
      <c r="S35" s="24"/>
      <c r="T35" s="72"/>
      <c r="U35" s="24"/>
      <c r="V35" s="9">
        <v>2500</v>
      </c>
      <c r="W35" s="9">
        <v>5500</v>
      </c>
      <c r="X35" s="9">
        <v>10000</v>
      </c>
      <c r="Y35" s="9">
        <v>13400</v>
      </c>
      <c r="Z35" s="9">
        <v>450</v>
      </c>
      <c r="AA35" s="9">
        <v>2500</v>
      </c>
      <c r="AB35" s="9"/>
      <c r="AC35" s="11"/>
      <c r="AD35" s="68">
        <v>1380</v>
      </c>
      <c r="AE35" s="68">
        <v>4000</v>
      </c>
      <c r="AF35" s="68">
        <v>16700</v>
      </c>
      <c r="AG35" s="10"/>
      <c r="AH35" s="68">
        <v>2000</v>
      </c>
      <c r="AI35" s="68">
        <v>13000</v>
      </c>
      <c r="AJ35" s="10"/>
      <c r="AK35" s="21"/>
      <c r="AL35" s="20"/>
      <c r="AM35" s="10"/>
      <c r="AN35" s="11"/>
      <c r="AO35" s="24"/>
      <c r="AP35" s="72"/>
      <c r="AR35" s="9">
        <v>1500</v>
      </c>
      <c r="AS35" s="9">
        <v>10000</v>
      </c>
      <c r="AT35" s="9">
        <v>14000</v>
      </c>
      <c r="AU35" s="9">
        <v>8000</v>
      </c>
      <c r="AV35" s="9">
        <v>2500</v>
      </c>
      <c r="AW35" s="9">
        <v>2000</v>
      </c>
      <c r="AX35" s="9">
        <v>8500</v>
      </c>
      <c r="AY35" s="9"/>
      <c r="AZ35" s="11"/>
      <c r="BA35" s="68">
        <v>8000</v>
      </c>
      <c r="BB35" s="68">
        <v>13000</v>
      </c>
      <c r="BC35" s="68">
        <v>15200</v>
      </c>
      <c r="BD35" s="10"/>
      <c r="BE35" s="68">
        <v>9000</v>
      </c>
      <c r="BF35" s="68">
        <v>48480</v>
      </c>
      <c r="BG35" s="10"/>
      <c r="BH35" s="21"/>
      <c r="BI35" s="20"/>
      <c r="BJ35" s="10"/>
      <c r="BK35" s="11"/>
      <c r="BL35" s="24"/>
      <c r="BM35" s="72"/>
      <c r="BO35" s="9">
        <v>8000</v>
      </c>
      <c r="BP35" s="9">
        <v>9000</v>
      </c>
      <c r="BQ35" s="9">
        <v>215000</v>
      </c>
      <c r="BR35" s="9">
        <v>400</v>
      </c>
      <c r="BS35" s="9">
        <v>8000</v>
      </c>
      <c r="BT35" s="9">
        <v>7500</v>
      </c>
      <c r="BU35" s="9"/>
      <c r="BV35" s="11"/>
      <c r="BW35" s="68">
        <v>4320</v>
      </c>
      <c r="BX35" s="68">
        <v>5280</v>
      </c>
      <c r="BY35" s="10"/>
      <c r="BZ35" s="10">
        <v>5000</v>
      </c>
      <c r="CA35" s="10">
        <v>3100</v>
      </c>
      <c r="CB35" s="10"/>
      <c r="CC35" s="21"/>
      <c r="CD35" s="20"/>
      <c r="CE35" s="10"/>
      <c r="CF35" s="11"/>
      <c r="CG35" s="24"/>
      <c r="CH35" s="72"/>
      <c r="CI35" s="24"/>
      <c r="CJ35" s="9">
        <v>25000</v>
      </c>
      <c r="CK35" s="9"/>
      <c r="CL35" s="9"/>
      <c r="CM35" s="9"/>
      <c r="CN35" s="9"/>
      <c r="CO35" s="9"/>
      <c r="CP35" s="9"/>
      <c r="CQ35" s="11"/>
      <c r="CR35" s="10"/>
      <c r="CS35" s="10"/>
      <c r="CT35" s="10"/>
      <c r="CU35" s="10"/>
      <c r="CV35" s="10"/>
      <c r="CW35" s="10"/>
      <c r="CX35" s="21"/>
      <c r="CY35" s="20"/>
      <c r="CZ35" s="10"/>
      <c r="DA35" s="11"/>
      <c r="DB35" s="24"/>
      <c r="DC35" s="72"/>
    </row>
    <row r="36" spans="14:79">
      <c r="N36" s="4"/>
      <c r="BE36" s="35"/>
      <c r="BF36" s="36"/>
      <c r="BG36" s="35"/>
      <c r="BH36" s="35"/>
      <c r="BI36" s="35"/>
      <c r="CA36" s="4"/>
    </row>
  </sheetData>
  <mergeCells count="61">
    <mergeCell ref="I1:N1"/>
    <mergeCell ref="P1:Q1"/>
    <mergeCell ref="AD1:AJ1"/>
    <mergeCell ref="AL1:AM1"/>
    <mergeCell ref="BA1:BG1"/>
    <mergeCell ref="BI1:BJ1"/>
    <mergeCell ref="BW1:CB1"/>
    <mergeCell ref="CD1:CE1"/>
    <mergeCell ref="CR1:CW1"/>
    <mergeCell ref="CY1:CZ1"/>
    <mergeCell ref="S1:S2"/>
    <mergeCell ref="S3:S4"/>
    <mergeCell ref="S5:S6"/>
    <mergeCell ref="S7:S8"/>
    <mergeCell ref="T1:T2"/>
    <mergeCell ref="T3:T4"/>
    <mergeCell ref="T5:T6"/>
    <mergeCell ref="T7:T8"/>
    <mergeCell ref="AO1:AO2"/>
    <mergeCell ref="AO3:AO4"/>
    <mergeCell ref="AO5:AO6"/>
    <mergeCell ref="AO7:AO8"/>
    <mergeCell ref="AP1:AP2"/>
    <mergeCell ref="AP3:AP4"/>
    <mergeCell ref="AP5:AP6"/>
    <mergeCell ref="AP7:AP8"/>
    <mergeCell ref="BL1:BL2"/>
    <mergeCell ref="BL3:BL4"/>
    <mergeCell ref="BL5:BL6"/>
    <mergeCell ref="BL7:BL8"/>
    <mergeCell ref="BM1:BM2"/>
    <mergeCell ref="BM3:BM4"/>
    <mergeCell ref="BM5:BM6"/>
    <mergeCell ref="BM7:BM8"/>
    <mergeCell ref="CG1:CG2"/>
    <mergeCell ref="CG3:CG4"/>
    <mergeCell ref="CG5:CG6"/>
    <mergeCell ref="CG7:CG8"/>
    <mergeCell ref="CH1:CH2"/>
    <mergeCell ref="CH3:CH4"/>
    <mergeCell ref="CH5:CH6"/>
    <mergeCell ref="CH7:CH8"/>
    <mergeCell ref="DB1:DB2"/>
    <mergeCell ref="DB3:DB4"/>
    <mergeCell ref="DB5:DB6"/>
    <mergeCell ref="DB7:DB8"/>
    <mergeCell ref="DC1:DC2"/>
    <mergeCell ref="DC3:DC4"/>
    <mergeCell ref="DC5:DC6"/>
    <mergeCell ref="DC7:DC8"/>
    <mergeCell ref="DE1:DH2"/>
    <mergeCell ref="DE3:DF4"/>
    <mergeCell ref="DG3:DH4"/>
    <mergeCell ref="DE5:DF6"/>
    <mergeCell ref="DG5:DH6"/>
    <mergeCell ref="DE11:DF12"/>
    <mergeCell ref="DG11:DH12"/>
    <mergeCell ref="DE7:DF8"/>
    <mergeCell ref="DG7:DH8"/>
    <mergeCell ref="DE9:DF10"/>
    <mergeCell ref="DG9:DH10"/>
  </mergeCells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I36"/>
  <sheetViews>
    <sheetView zoomScale="83" zoomScaleNormal="83" topLeftCell="CN1" workbookViewId="0">
      <selection activeCell="DD9" sqref="DD9"/>
    </sheetView>
  </sheetViews>
  <sheetFormatPr defaultColWidth="11" defaultRowHeight="14.4"/>
  <cols>
    <col min="1" max="8" width="11.712962962963" customWidth="1"/>
    <col min="9" max="9" width="1.71296296296296" customWidth="1"/>
    <col min="10" max="15" width="11.712962962963" customWidth="1"/>
    <col min="16" max="16" width="1.71296296296296" customWidth="1"/>
    <col min="17" max="18" width="11.712962962963" customWidth="1"/>
    <col min="19" max="19" width="1.71296296296296" customWidth="1"/>
    <col min="20" max="20" width="11.712962962963" customWidth="1"/>
    <col min="21" max="21" width="13.4259259259259" style="67" customWidth="1"/>
    <col min="23" max="23" width="12.4259259259259" customWidth="1"/>
    <col min="24" max="24" width="12" customWidth="1"/>
    <col min="25" max="26" width="11" customWidth="1"/>
    <col min="27" max="27" width="13" customWidth="1"/>
    <col min="28" max="28" width="13.1388888888889" customWidth="1"/>
    <col min="29" max="29" width="12.8518518518519" customWidth="1"/>
    <col min="30" max="30" width="1.71296296296296" customWidth="1"/>
    <col min="31" max="31" width="11.8518518518519" customWidth="1"/>
    <col min="32" max="35" width="10.8518518518519" customWidth="1"/>
    <col min="36" max="36" width="12" customWidth="1"/>
    <col min="37" max="37" width="13.712962962963" customWidth="1"/>
    <col min="38" max="38" width="12.1388888888889" customWidth="1"/>
    <col min="39" max="39" width="1.71296296296296" customWidth="1"/>
    <col min="40" max="40" width="12" customWidth="1"/>
    <col min="41" max="41" width="11.8518518518519" customWidth="1"/>
    <col min="42" max="42" width="1.71296296296296" customWidth="1"/>
    <col min="43" max="43" width="15.1388888888889" customWidth="1"/>
    <col min="44" max="44" width="13.287037037037" style="67" customWidth="1"/>
    <col min="46" max="52" width="11.712962962963" customWidth="1"/>
    <col min="53" max="53" width="1.71296296296296" customWidth="1"/>
    <col min="54" max="58" width="11.712962962963" customWidth="1"/>
    <col min="59" max="59" width="13.712962962963" customWidth="1"/>
    <col min="60" max="60" width="1.71296296296296" customWidth="1"/>
    <col min="61" max="62" width="11.712962962963" customWidth="1"/>
    <col min="63" max="63" width="1.71296296296296" customWidth="1"/>
    <col min="64" max="64" width="11.712962962963" customWidth="1"/>
    <col min="65" max="65" width="13.4259259259259" style="67" customWidth="1"/>
    <col min="67" max="67" width="12.4259259259259" customWidth="1"/>
    <col min="68" max="74" width="11.712962962963" customWidth="1"/>
    <col min="75" max="75" width="1.71296296296296" customWidth="1"/>
    <col min="76" max="81" width="11.712962962963" customWidth="1"/>
    <col min="82" max="82" width="1.71296296296296" customWidth="1"/>
    <col min="83" max="83" width="11.712962962963" customWidth="1"/>
    <col min="84" max="84" width="12.4259259259259" customWidth="1"/>
    <col min="85" max="85" width="1.71296296296296" customWidth="1"/>
    <col min="86" max="86" width="11.712962962963" customWidth="1"/>
    <col min="87" max="87" width="13.8518518518519" style="67" customWidth="1"/>
    <col min="89" max="92" width="11.712962962963" customWidth="1"/>
    <col min="93" max="93" width="13.4259259259259" customWidth="1"/>
    <col min="94" max="95" width="11.712962962963" customWidth="1"/>
    <col min="96" max="96" width="1.71296296296296" customWidth="1"/>
    <col min="97" max="102" width="11.712962962963" customWidth="1"/>
    <col min="103" max="103" width="1.71296296296296" customWidth="1"/>
    <col min="104" max="104" width="11.712962962963" customWidth="1"/>
    <col min="105" max="105" width="13.712962962963" customWidth="1"/>
    <col min="106" max="106" width="1.71296296296296" customWidth="1"/>
    <col min="107" max="107" width="11.712962962963" customWidth="1"/>
    <col min="108" max="108" width="13.1388888888889" style="67" customWidth="1"/>
    <col min="109" max="109" width="9.42592592592593" customWidth="1"/>
    <col min="110" max="110" width="8.28703703703704" customWidth="1"/>
    <col min="111" max="111" width="7.13888888888889" customWidth="1"/>
    <col min="112" max="112" width="6.85185185185185" customWidth="1"/>
    <col min="113" max="113" width="17.5740740740741" customWidth="1"/>
  </cols>
  <sheetData>
    <row r="1" ht="15" customHeight="1" spans="1:113">
      <c r="A1" s="10">
        <v>5500</v>
      </c>
      <c r="B1" s="10">
        <v>8500</v>
      </c>
      <c r="C1" s="10">
        <v>15000</v>
      </c>
      <c r="D1" s="10">
        <v>2500</v>
      </c>
      <c r="E1" s="10">
        <v>16000</v>
      </c>
      <c r="F1" s="10">
        <v>5500</v>
      </c>
      <c r="G1" s="10">
        <v>10000</v>
      </c>
      <c r="H1" s="10"/>
      <c r="I1" s="11"/>
      <c r="J1" s="13" t="s">
        <v>0</v>
      </c>
      <c r="K1" s="14"/>
      <c r="L1" s="14"/>
      <c r="M1" s="14"/>
      <c r="N1" s="14"/>
      <c r="O1" s="15"/>
      <c r="P1" s="11"/>
      <c r="Q1" s="16" t="s">
        <v>1</v>
      </c>
      <c r="R1" s="17"/>
      <c r="S1" s="11"/>
      <c r="T1" s="22" t="s">
        <v>2</v>
      </c>
      <c r="U1" s="69"/>
      <c r="V1" s="24"/>
      <c r="W1" s="10">
        <v>1000</v>
      </c>
      <c r="X1" s="10">
        <v>3000</v>
      </c>
      <c r="Y1" s="10">
        <v>9000</v>
      </c>
      <c r="Z1" s="10">
        <v>1500</v>
      </c>
      <c r="AA1" s="10">
        <v>5000</v>
      </c>
      <c r="AB1" s="10">
        <v>11000</v>
      </c>
      <c r="AC1" s="10"/>
      <c r="AD1" s="11"/>
      <c r="AE1" s="13" t="s">
        <v>0</v>
      </c>
      <c r="AF1" s="14"/>
      <c r="AG1" s="14"/>
      <c r="AH1" s="14"/>
      <c r="AI1" s="14"/>
      <c r="AJ1" s="14"/>
      <c r="AK1" s="14"/>
      <c r="AL1" s="15"/>
      <c r="AM1" s="11"/>
      <c r="AN1" s="16" t="s">
        <v>1</v>
      </c>
      <c r="AO1" s="17"/>
      <c r="AP1" s="11"/>
      <c r="AQ1" s="22" t="s">
        <v>2</v>
      </c>
      <c r="AR1" s="69"/>
      <c r="AT1" s="10">
        <v>500</v>
      </c>
      <c r="AU1" s="10">
        <v>5000</v>
      </c>
      <c r="AV1" s="10">
        <v>23000</v>
      </c>
      <c r="AW1" s="10">
        <v>2000</v>
      </c>
      <c r="AX1" s="10">
        <v>5000</v>
      </c>
      <c r="AY1" s="10">
        <v>2000</v>
      </c>
      <c r="AZ1" s="10">
        <v>196200</v>
      </c>
      <c r="BA1" s="11"/>
      <c r="BB1" s="13" t="s">
        <v>0</v>
      </c>
      <c r="BC1" s="14"/>
      <c r="BD1" s="14"/>
      <c r="BE1" s="14"/>
      <c r="BF1" s="14"/>
      <c r="BG1" s="15"/>
      <c r="BH1" s="11"/>
      <c r="BI1" s="16" t="s">
        <v>1</v>
      </c>
      <c r="BJ1" s="17"/>
      <c r="BK1" s="11"/>
      <c r="BL1" s="22" t="s">
        <v>2</v>
      </c>
      <c r="BM1" s="69"/>
      <c r="BO1" s="10">
        <v>20000</v>
      </c>
      <c r="BP1" s="10">
        <v>18500</v>
      </c>
      <c r="BQ1" s="10">
        <v>3000</v>
      </c>
      <c r="BR1" s="10">
        <v>20000</v>
      </c>
      <c r="BS1" s="10">
        <v>7000</v>
      </c>
      <c r="BT1" s="10">
        <v>22000</v>
      </c>
      <c r="BU1" s="10">
        <v>5800</v>
      </c>
      <c r="BV1" s="10"/>
      <c r="BW1" s="11"/>
      <c r="BX1" s="13" t="s">
        <v>0</v>
      </c>
      <c r="BY1" s="14"/>
      <c r="BZ1" s="14"/>
      <c r="CA1" s="14"/>
      <c r="CB1" s="14"/>
      <c r="CC1" s="15"/>
      <c r="CD1" s="11"/>
      <c r="CE1" s="16" t="s">
        <v>1</v>
      </c>
      <c r="CF1" s="17"/>
      <c r="CG1" s="11"/>
      <c r="CH1" s="22" t="s">
        <v>2</v>
      </c>
      <c r="CI1" s="69"/>
      <c r="CK1" s="10">
        <v>4000</v>
      </c>
      <c r="CL1" s="10">
        <v>1500</v>
      </c>
      <c r="CM1" s="10">
        <v>2200</v>
      </c>
      <c r="CN1" s="10">
        <v>1000</v>
      </c>
      <c r="CO1" s="10">
        <v>8000</v>
      </c>
      <c r="CP1" s="10">
        <v>2500</v>
      </c>
      <c r="CQ1" s="10"/>
      <c r="CR1" s="11"/>
      <c r="CS1" s="13" t="s">
        <v>0</v>
      </c>
      <c r="CT1" s="14"/>
      <c r="CU1" s="14"/>
      <c r="CV1" s="14"/>
      <c r="CW1" s="14"/>
      <c r="CX1" s="15"/>
      <c r="CY1" s="11"/>
      <c r="CZ1" s="16" t="s">
        <v>1</v>
      </c>
      <c r="DA1" s="17"/>
      <c r="DB1" s="11"/>
      <c r="DC1" s="22" t="s">
        <v>2</v>
      </c>
      <c r="DD1" s="69"/>
      <c r="DF1" s="37" t="s">
        <v>3</v>
      </c>
      <c r="DG1" s="45"/>
      <c r="DH1" s="45"/>
      <c r="DI1" s="46"/>
    </row>
    <row r="2" ht="15" customHeight="1" spans="1:113">
      <c r="A2" s="12">
        <v>3000</v>
      </c>
      <c r="B2" s="12">
        <v>13500</v>
      </c>
      <c r="C2" s="12">
        <v>17000</v>
      </c>
      <c r="D2" s="12">
        <v>5000</v>
      </c>
      <c r="E2" s="12">
        <v>13400</v>
      </c>
      <c r="F2" s="12">
        <v>23500</v>
      </c>
      <c r="G2" s="12">
        <v>11500</v>
      </c>
      <c r="H2" s="12"/>
      <c r="I2" s="11"/>
      <c r="J2" s="68">
        <v>200</v>
      </c>
      <c r="K2" s="68">
        <v>3560</v>
      </c>
      <c r="L2" s="10"/>
      <c r="M2" s="68">
        <v>14500</v>
      </c>
      <c r="N2" s="68">
        <v>25000</v>
      </c>
      <c r="O2" s="68">
        <v>698300</v>
      </c>
      <c r="P2" s="11"/>
      <c r="Q2" s="20" t="s">
        <v>52</v>
      </c>
      <c r="R2" s="10">
        <v>79600</v>
      </c>
      <c r="S2" s="11"/>
      <c r="T2" s="25"/>
      <c r="U2" s="70"/>
      <c r="V2" s="24"/>
      <c r="W2" s="12">
        <v>5000</v>
      </c>
      <c r="X2" s="12">
        <v>800</v>
      </c>
      <c r="Y2" s="12">
        <v>26500</v>
      </c>
      <c r="Z2" s="12">
        <v>49200</v>
      </c>
      <c r="AA2" s="12">
        <v>25000</v>
      </c>
      <c r="AB2" s="12">
        <v>5000</v>
      </c>
      <c r="AC2" s="12"/>
      <c r="AD2" s="11"/>
      <c r="AE2" s="68">
        <v>8320</v>
      </c>
      <c r="AF2" s="68">
        <v>21000</v>
      </c>
      <c r="AG2" s="68">
        <v>44900</v>
      </c>
      <c r="AH2" s="68">
        <v>2100</v>
      </c>
      <c r="AI2" s="68">
        <v>12000</v>
      </c>
      <c r="AJ2" s="68">
        <v>5600</v>
      </c>
      <c r="AK2" s="68">
        <v>1000</v>
      </c>
      <c r="AL2" s="68">
        <v>4500</v>
      </c>
      <c r="AM2" s="11"/>
      <c r="AN2" s="20" t="s">
        <v>41</v>
      </c>
      <c r="AO2" s="10">
        <v>333600</v>
      </c>
      <c r="AP2" s="11"/>
      <c r="AQ2" s="25"/>
      <c r="AR2" s="70"/>
      <c r="AT2" s="12">
        <v>16000</v>
      </c>
      <c r="AU2" s="12">
        <v>3800</v>
      </c>
      <c r="AV2" s="12">
        <v>6000</v>
      </c>
      <c r="AW2" s="12">
        <v>21000</v>
      </c>
      <c r="AX2" s="12">
        <v>15500</v>
      </c>
      <c r="AY2" s="12">
        <v>3000</v>
      </c>
      <c r="AZ2" s="12">
        <v>17500</v>
      </c>
      <c r="BA2" s="11"/>
      <c r="BB2" s="68">
        <v>5000</v>
      </c>
      <c r="BC2" s="68">
        <v>1000</v>
      </c>
      <c r="BD2" s="68">
        <v>105700</v>
      </c>
      <c r="BE2" s="68">
        <v>6000</v>
      </c>
      <c r="BF2" s="68">
        <v>7000</v>
      </c>
      <c r="BG2" s="68">
        <v>1009050</v>
      </c>
      <c r="BH2" s="11"/>
      <c r="BI2" s="20" t="s">
        <v>149</v>
      </c>
      <c r="BJ2" s="10">
        <v>467000</v>
      </c>
      <c r="BK2" s="11"/>
      <c r="BL2" s="25"/>
      <c r="BM2" s="70"/>
      <c r="BO2" s="12">
        <v>249000</v>
      </c>
      <c r="BP2" s="12">
        <v>6000</v>
      </c>
      <c r="BQ2" s="12">
        <v>12000</v>
      </c>
      <c r="BR2" s="12">
        <v>8000</v>
      </c>
      <c r="BS2" s="12">
        <v>3000</v>
      </c>
      <c r="BT2" s="12">
        <v>7000</v>
      </c>
      <c r="BU2" s="12">
        <v>4500</v>
      </c>
      <c r="BV2" s="12"/>
      <c r="BW2" s="11"/>
      <c r="BX2" s="68">
        <v>13500</v>
      </c>
      <c r="BY2" s="68">
        <v>17270</v>
      </c>
      <c r="BZ2" s="68">
        <v>38420</v>
      </c>
      <c r="CA2" s="68">
        <v>31500</v>
      </c>
      <c r="CB2" s="68">
        <v>80000</v>
      </c>
      <c r="CC2" s="68">
        <v>1500</v>
      </c>
      <c r="CD2" s="11"/>
      <c r="CE2" s="20" t="s">
        <v>125</v>
      </c>
      <c r="CF2" s="10">
        <v>178360</v>
      </c>
      <c r="CG2" s="11"/>
      <c r="CH2" s="25"/>
      <c r="CI2" s="70"/>
      <c r="CK2" s="12">
        <v>3000</v>
      </c>
      <c r="CL2" s="12">
        <v>1200</v>
      </c>
      <c r="CM2" s="12">
        <v>1000</v>
      </c>
      <c r="CN2" s="12">
        <v>5800</v>
      </c>
      <c r="CO2" s="12">
        <v>350</v>
      </c>
      <c r="CP2" s="12">
        <v>10000</v>
      </c>
      <c r="CQ2" s="12"/>
      <c r="CR2" s="11"/>
      <c r="CS2" s="68">
        <v>28820</v>
      </c>
      <c r="CT2" s="68">
        <v>9130</v>
      </c>
      <c r="CU2" s="10"/>
      <c r="CV2" s="68">
        <v>6000</v>
      </c>
      <c r="CW2" s="68">
        <v>11000</v>
      </c>
      <c r="CX2" s="68">
        <v>18000</v>
      </c>
      <c r="CY2" s="11"/>
      <c r="CZ2" s="20" t="s">
        <v>150</v>
      </c>
      <c r="DA2" s="10">
        <v>240500</v>
      </c>
      <c r="DB2" s="11"/>
      <c r="DC2" s="25"/>
      <c r="DD2" s="70"/>
      <c r="DF2" s="38"/>
      <c r="DG2" s="47"/>
      <c r="DH2" s="47"/>
      <c r="DI2" s="48"/>
    </row>
    <row r="3" ht="15" customHeight="1" spans="1:113">
      <c r="A3" s="9">
        <v>500</v>
      </c>
      <c r="B3" s="9">
        <v>10000</v>
      </c>
      <c r="C3" s="9">
        <v>600</v>
      </c>
      <c r="D3" s="9">
        <v>16500</v>
      </c>
      <c r="E3" s="9">
        <v>3000</v>
      </c>
      <c r="F3" s="9">
        <v>3600</v>
      </c>
      <c r="G3" s="9">
        <v>1200</v>
      </c>
      <c r="H3" s="9"/>
      <c r="I3" s="11"/>
      <c r="J3" s="68">
        <v>4320</v>
      </c>
      <c r="K3" s="68">
        <v>5180</v>
      </c>
      <c r="L3" s="10"/>
      <c r="M3" s="68">
        <v>2000</v>
      </c>
      <c r="N3" s="68">
        <v>5600</v>
      </c>
      <c r="O3" s="68">
        <v>5500</v>
      </c>
      <c r="P3" s="19"/>
      <c r="Q3" s="20" t="s">
        <v>18</v>
      </c>
      <c r="R3" s="10">
        <v>721500</v>
      </c>
      <c r="S3" s="11">
        <v>1</v>
      </c>
      <c r="T3" s="27" t="s">
        <v>9</v>
      </c>
      <c r="U3" s="69">
        <f>SUM(A1:H35)</f>
        <v>2549100</v>
      </c>
      <c r="V3" s="24"/>
      <c r="W3" s="9">
        <v>3500</v>
      </c>
      <c r="X3" s="9">
        <v>5500</v>
      </c>
      <c r="Y3" s="9">
        <v>26500</v>
      </c>
      <c r="Z3" s="9">
        <v>3000</v>
      </c>
      <c r="AA3" s="9">
        <v>3500</v>
      </c>
      <c r="AB3" s="9">
        <v>1500</v>
      </c>
      <c r="AC3" s="9"/>
      <c r="AD3" s="11"/>
      <c r="AE3" s="68">
        <v>18480</v>
      </c>
      <c r="AF3" s="68">
        <v>15500</v>
      </c>
      <c r="AG3" s="68">
        <v>39000</v>
      </c>
      <c r="AH3" s="68">
        <v>4000</v>
      </c>
      <c r="AI3" s="68">
        <v>2500</v>
      </c>
      <c r="AJ3" s="68">
        <v>6500</v>
      </c>
      <c r="AK3" s="68">
        <v>1000</v>
      </c>
      <c r="AL3" s="68">
        <v>14400</v>
      </c>
      <c r="AM3" s="19"/>
      <c r="AN3" s="20" t="s">
        <v>37</v>
      </c>
      <c r="AO3" s="10">
        <v>361370</v>
      </c>
      <c r="AP3" s="11">
        <v>1</v>
      </c>
      <c r="AQ3" s="27" t="s">
        <v>9</v>
      </c>
      <c r="AR3" s="69">
        <f>SUM(W1:AD35)</f>
        <v>2215700</v>
      </c>
      <c r="AT3" s="9">
        <v>13600</v>
      </c>
      <c r="AU3" s="9">
        <v>8000</v>
      </c>
      <c r="AV3" s="9">
        <v>7000</v>
      </c>
      <c r="AW3" s="9">
        <v>2500</v>
      </c>
      <c r="AX3" s="9">
        <v>3500</v>
      </c>
      <c r="AY3" s="9">
        <v>5000</v>
      </c>
      <c r="AZ3" s="9">
        <v>2100</v>
      </c>
      <c r="BA3" s="11"/>
      <c r="BB3" s="68">
        <v>10000</v>
      </c>
      <c r="BC3" s="68">
        <v>10090</v>
      </c>
      <c r="BD3" s="68">
        <v>11530</v>
      </c>
      <c r="BE3" s="68">
        <v>6000</v>
      </c>
      <c r="BF3" s="68">
        <v>3500</v>
      </c>
      <c r="BG3" s="68">
        <v>6000</v>
      </c>
      <c r="BH3" s="19"/>
      <c r="BI3" s="20" t="s">
        <v>123</v>
      </c>
      <c r="BJ3" s="10">
        <v>45000</v>
      </c>
      <c r="BK3" s="11">
        <v>1</v>
      </c>
      <c r="BL3" s="27" t="s">
        <v>9</v>
      </c>
      <c r="BM3" s="69">
        <f>SUM(AT1:BA35)</f>
        <v>2022300</v>
      </c>
      <c r="BO3" s="9">
        <v>3500</v>
      </c>
      <c r="BP3" s="9">
        <v>10000</v>
      </c>
      <c r="BQ3" s="9">
        <v>24700</v>
      </c>
      <c r="BR3" s="9">
        <v>12000</v>
      </c>
      <c r="BS3" s="9">
        <v>5100</v>
      </c>
      <c r="BT3" s="9">
        <v>6000</v>
      </c>
      <c r="BU3" s="9">
        <v>6000</v>
      </c>
      <c r="BV3" s="9"/>
      <c r="BW3" s="11"/>
      <c r="BX3" s="68">
        <v>12000</v>
      </c>
      <c r="BY3" s="68">
        <v>14000</v>
      </c>
      <c r="BZ3" s="68">
        <v>480</v>
      </c>
      <c r="CA3" s="68">
        <v>2500</v>
      </c>
      <c r="CB3" s="68">
        <v>36000</v>
      </c>
      <c r="CC3" s="68">
        <v>4000</v>
      </c>
      <c r="CD3" s="19"/>
      <c r="CE3" s="20" t="s">
        <v>151</v>
      </c>
      <c r="CF3" s="10">
        <v>54000</v>
      </c>
      <c r="CG3" s="11">
        <v>1</v>
      </c>
      <c r="CH3" s="27" t="s">
        <v>9</v>
      </c>
      <c r="CI3" s="69">
        <f>SUM(BO1:BW35)</f>
        <v>2349580</v>
      </c>
      <c r="CK3" s="9">
        <v>11000</v>
      </c>
      <c r="CL3" s="9">
        <v>3200</v>
      </c>
      <c r="CM3" s="9">
        <v>6500</v>
      </c>
      <c r="CN3" s="9">
        <v>6000</v>
      </c>
      <c r="CO3" s="9">
        <v>1500</v>
      </c>
      <c r="CP3" s="9">
        <v>5500</v>
      </c>
      <c r="CQ3" s="9"/>
      <c r="CR3" s="11"/>
      <c r="CS3" s="68">
        <v>5760</v>
      </c>
      <c r="CT3" s="68">
        <v>14410</v>
      </c>
      <c r="CU3" s="10"/>
      <c r="CV3" s="68">
        <v>2000</v>
      </c>
      <c r="CW3" s="68">
        <v>7000</v>
      </c>
      <c r="CX3" s="68">
        <v>7500</v>
      </c>
      <c r="CY3" s="19"/>
      <c r="CZ3" s="20" t="s">
        <v>113</v>
      </c>
      <c r="DA3" s="10">
        <v>825000</v>
      </c>
      <c r="DB3" s="11">
        <v>1</v>
      </c>
      <c r="DC3" s="27" t="s">
        <v>9</v>
      </c>
      <c r="DD3" s="69">
        <f>SUM(CK1:CR35)</f>
        <v>1693810</v>
      </c>
      <c r="DF3" s="39" t="s">
        <v>9</v>
      </c>
      <c r="DG3" s="49"/>
      <c r="DH3" s="50">
        <f>SUM(U3,AR3,BM3,CI3,DD3)</f>
        <v>10830490</v>
      </c>
      <c r="DI3" s="51"/>
    </row>
    <row r="4" ht="15" customHeight="1" spans="1:113">
      <c r="A4" s="9">
        <v>9000</v>
      </c>
      <c r="B4" s="9">
        <v>8900</v>
      </c>
      <c r="C4" s="9">
        <v>4500</v>
      </c>
      <c r="D4" s="9">
        <v>10000</v>
      </c>
      <c r="E4" s="9">
        <v>2400</v>
      </c>
      <c r="F4" s="9">
        <v>8500</v>
      </c>
      <c r="G4" s="9">
        <v>3500</v>
      </c>
      <c r="H4" s="9"/>
      <c r="I4" s="11"/>
      <c r="J4" s="68">
        <v>21670</v>
      </c>
      <c r="K4" s="68">
        <v>13450</v>
      </c>
      <c r="L4" s="10"/>
      <c r="M4" s="68">
        <v>1800</v>
      </c>
      <c r="N4" s="68">
        <v>11000</v>
      </c>
      <c r="O4" s="68">
        <v>2650</v>
      </c>
      <c r="P4" s="19"/>
      <c r="Q4" s="20" t="s">
        <v>152</v>
      </c>
      <c r="R4" s="10">
        <v>52500</v>
      </c>
      <c r="S4" s="11"/>
      <c r="T4" s="28"/>
      <c r="U4" s="70"/>
      <c r="V4" s="24"/>
      <c r="W4" s="9">
        <v>20000</v>
      </c>
      <c r="X4" s="9">
        <v>5500</v>
      </c>
      <c r="Y4" s="9">
        <v>20000</v>
      </c>
      <c r="Z4" s="9">
        <v>4200</v>
      </c>
      <c r="AA4" s="9">
        <v>14000</v>
      </c>
      <c r="AB4" s="9">
        <v>5500</v>
      </c>
      <c r="AC4" s="9"/>
      <c r="AD4" s="11"/>
      <c r="AE4" s="68">
        <v>212500</v>
      </c>
      <c r="AF4" s="68">
        <v>22000</v>
      </c>
      <c r="AG4" s="68">
        <v>4500</v>
      </c>
      <c r="AH4" s="68">
        <v>4320</v>
      </c>
      <c r="AI4" s="68">
        <v>6600</v>
      </c>
      <c r="AJ4" s="68">
        <v>5500</v>
      </c>
      <c r="AK4" s="68">
        <v>18000</v>
      </c>
      <c r="AL4" s="68">
        <v>12000</v>
      </c>
      <c r="AM4" s="19"/>
      <c r="AN4" s="20" t="s">
        <v>123</v>
      </c>
      <c r="AO4" s="10">
        <v>318000</v>
      </c>
      <c r="AP4" s="11"/>
      <c r="AQ4" s="28"/>
      <c r="AR4" s="70"/>
      <c r="AT4" s="9">
        <v>1000</v>
      </c>
      <c r="AU4" s="9">
        <v>10000</v>
      </c>
      <c r="AV4" s="9">
        <v>8000</v>
      </c>
      <c r="AW4" s="9">
        <v>9000</v>
      </c>
      <c r="AX4" s="9">
        <v>3000</v>
      </c>
      <c r="AY4" s="9">
        <v>1800</v>
      </c>
      <c r="AZ4" s="9">
        <v>7500</v>
      </c>
      <c r="BA4" s="11"/>
      <c r="BB4" s="68">
        <v>100000</v>
      </c>
      <c r="BC4" s="68">
        <v>39640</v>
      </c>
      <c r="BD4" s="68">
        <v>5770</v>
      </c>
      <c r="BE4" s="68">
        <v>60000</v>
      </c>
      <c r="BF4" s="68">
        <v>11000</v>
      </c>
      <c r="BG4" s="68">
        <v>19000</v>
      </c>
      <c r="BH4" s="19"/>
      <c r="BI4" s="20" t="s">
        <v>5</v>
      </c>
      <c r="BJ4" s="10">
        <v>435000</v>
      </c>
      <c r="BK4" s="11"/>
      <c r="BL4" s="28"/>
      <c r="BM4" s="70"/>
      <c r="BO4" s="9">
        <v>5000</v>
      </c>
      <c r="BP4" s="9">
        <v>5000</v>
      </c>
      <c r="BQ4" s="9">
        <v>26500</v>
      </c>
      <c r="BR4" s="9">
        <v>7000</v>
      </c>
      <c r="BS4" s="9">
        <v>64000</v>
      </c>
      <c r="BT4" s="9">
        <v>2000</v>
      </c>
      <c r="BU4" s="9">
        <v>10000</v>
      </c>
      <c r="BV4" s="9"/>
      <c r="BW4" s="11"/>
      <c r="BX4" s="68">
        <v>5760</v>
      </c>
      <c r="BY4" s="68">
        <v>6600</v>
      </c>
      <c r="BZ4" s="68">
        <v>42500</v>
      </c>
      <c r="CA4" s="68">
        <v>80000</v>
      </c>
      <c r="CB4" s="68">
        <v>15000</v>
      </c>
      <c r="CC4" s="68">
        <v>4500</v>
      </c>
      <c r="CD4" s="19"/>
      <c r="CE4" s="20" t="s">
        <v>49</v>
      </c>
      <c r="CF4" s="10">
        <v>201600</v>
      </c>
      <c r="CG4" s="11"/>
      <c r="CH4" s="28"/>
      <c r="CI4" s="70"/>
      <c r="CK4" s="9">
        <v>5000</v>
      </c>
      <c r="CL4" s="9">
        <v>1500</v>
      </c>
      <c r="CM4" s="9">
        <v>5000</v>
      </c>
      <c r="CN4" s="9">
        <v>8000</v>
      </c>
      <c r="CO4" s="9">
        <v>13000</v>
      </c>
      <c r="CP4" s="9">
        <v>3360</v>
      </c>
      <c r="CQ4" s="9"/>
      <c r="CR4" s="11"/>
      <c r="CS4" s="68">
        <v>5760</v>
      </c>
      <c r="CT4" s="68">
        <v>7000</v>
      </c>
      <c r="CU4" s="10"/>
      <c r="CV4" s="68">
        <v>5000</v>
      </c>
      <c r="CW4" s="68">
        <v>6000</v>
      </c>
      <c r="CX4" s="68">
        <v>2000</v>
      </c>
      <c r="CY4" s="19"/>
      <c r="CZ4" s="20" t="s">
        <v>153</v>
      </c>
      <c r="DA4" s="10">
        <v>363100</v>
      </c>
      <c r="DB4" s="11"/>
      <c r="DC4" s="28"/>
      <c r="DD4" s="70"/>
      <c r="DF4" s="40"/>
      <c r="DG4" s="52"/>
      <c r="DH4" s="53"/>
      <c r="DI4" s="54"/>
    </row>
    <row r="5" ht="15" customHeight="1" spans="1:113">
      <c r="A5" s="9">
        <v>3000</v>
      </c>
      <c r="B5" s="9">
        <v>2500</v>
      </c>
      <c r="C5" s="9">
        <v>16000</v>
      </c>
      <c r="D5" s="9">
        <v>66000</v>
      </c>
      <c r="E5" s="9">
        <v>4000</v>
      </c>
      <c r="F5" s="9">
        <v>2400</v>
      </c>
      <c r="G5" s="9">
        <v>500</v>
      </c>
      <c r="H5" s="9"/>
      <c r="I5" s="11"/>
      <c r="J5" s="68">
        <v>3000</v>
      </c>
      <c r="K5" s="68">
        <v>5900</v>
      </c>
      <c r="L5" s="10"/>
      <c r="M5" s="68">
        <v>5000</v>
      </c>
      <c r="N5" s="68">
        <v>4500</v>
      </c>
      <c r="O5" s="68">
        <v>7000</v>
      </c>
      <c r="P5" s="19"/>
      <c r="Q5" s="20" t="s">
        <v>60</v>
      </c>
      <c r="R5" s="10">
        <v>25760</v>
      </c>
      <c r="S5" s="11"/>
      <c r="T5" s="27" t="s">
        <v>17</v>
      </c>
      <c r="U5" s="69">
        <f>SUM(J2:O35)</f>
        <v>2892290</v>
      </c>
      <c r="V5" s="24"/>
      <c r="W5" s="9">
        <v>6000</v>
      </c>
      <c r="X5" s="9">
        <v>9500</v>
      </c>
      <c r="Y5" s="9">
        <v>4500</v>
      </c>
      <c r="Z5" s="9">
        <v>4500</v>
      </c>
      <c r="AA5" s="9">
        <v>5800</v>
      </c>
      <c r="AB5" s="9">
        <v>8000</v>
      </c>
      <c r="AC5" s="9"/>
      <c r="AD5" s="11"/>
      <c r="AE5" s="68">
        <v>2030</v>
      </c>
      <c r="AF5" s="68">
        <v>2400</v>
      </c>
      <c r="AG5" s="68">
        <v>4320</v>
      </c>
      <c r="AH5" s="68">
        <v>5000</v>
      </c>
      <c r="AI5" s="68">
        <v>20000</v>
      </c>
      <c r="AJ5" s="68">
        <v>9000</v>
      </c>
      <c r="AK5" s="68">
        <v>5000</v>
      </c>
      <c r="AL5" s="68">
        <v>12000</v>
      </c>
      <c r="AM5" s="19"/>
      <c r="AN5" s="20" t="s">
        <v>154</v>
      </c>
      <c r="AO5" s="10">
        <v>383200</v>
      </c>
      <c r="AP5" s="11"/>
      <c r="AQ5" s="27" t="s">
        <v>17</v>
      </c>
      <c r="AR5" s="69">
        <f>SUM(AE2:AL35)</f>
        <v>3287370</v>
      </c>
      <c r="AT5" s="9">
        <v>13000</v>
      </c>
      <c r="AU5" s="9">
        <v>20000</v>
      </c>
      <c r="AV5" s="9">
        <v>3500</v>
      </c>
      <c r="AW5" s="9">
        <v>25000</v>
      </c>
      <c r="AX5" s="9">
        <v>700</v>
      </c>
      <c r="AY5" s="9">
        <v>3300</v>
      </c>
      <c r="AZ5" s="9">
        <v>13000</v>
      </c>
      <c r="BA5" s="11"/>
      <c r="BB5" s="68">
        <v>480</v>
      </c>
      <c r="BC5" s="68">
        <v>9000</v>
      </c>
      <c r="BD5" s="68">
        <v>3460</v>
      </c>
      <c r="BE5" s="68">
        <v>8500</v>
      </c>
      <c r="BF5" s="68">
        <v>1000</v>
      </c>
      <c r="BG5" s="68">
        <v>5000</v>
      </c>
      <c r="BH5" s="19"/>
      <c r="BI5" s="20" t="s">
        <v>22</v>
      </c>
      <c r="BJ5" s="10">
        <v>703000</v>
      </c>
      <c r="BK5" s="11"/>
      <c r="BL5" s="27" t="s">
        <v>17</v>
      </c>
      <c r="BM5" s="69">
        <f>SUM(BB2:BG35)</f>
        <v>2844740</v>
      </c>
      <c r="BO5" s="9">
        <v>1500</v>
      </c>
      <c r="BP5" s="9">
        <v>2000</v>
      </c>
      <c r="BQ5" s="9">
        <v>29500</v>
      </c>
      <c r="BR5" s="9">
        <v>11000</v>
      </c>
      <c r="BS5" s="9">
        <v>3500</v>
      </c>
      <c r="BT5" s="9">
        <v>2500</v>
      </c>
      <c r="BU5" s="9">
        <v>6000</v>
      </c>
      <c r="BV5" s="9"/>
      <c r="BW5" s="11"/>
      <c r="BX5" s="68">
        <v>1440</v>
      </c>
      <c r="BY5" s="68">
        <v>8000</v>
      </c>
      <c r="BZ5" s="68">
        <v>13250</v>
      </c>
      <c r="CA5" s="68">
        <v>3500</v>
      </c>
      <c r="CB5" s="68">
        <v>16000</v>
      </c>
      <c r="CC5" s="68">
        <v>5000</v>
      </c>
      <c r="CD5" s="19"/>
      <c r="CE5" s="20" t="s">
        <v>155</v>
      </c>
      <c r="CF5" s="10">
        <v>280000</v>
      </c>
      <c r="CG5" s="11"/>
      <c r="CH5" s="27" t="s">
        <v>17</v>
      </c>
      <c r="CI5" s="69">
        <f>SUM(BX2:CC35)</f>
        <v>2583462</v>
      </c>
      <c r="CK5" s="9">
        <v>6500</v>
      </c>
      <c r="CL5" s="9">
        <v>7000</v>
      </c>
      <c r="CM5" s="9">
        <v>95500</v>
      </c>
      <c r="CN5" s="9">
        <v>1000</v>
      </c>
      <c r="CO5" s="9">
        <v>6000</v>
      </c>
      <c r="CP5" s="9">
        <v>26000</v>
      </c>
      <c r="CQ5" s="9"/>
      <c r="CR5" s="11"/>
      <c r="CS5" s="68">
        <v>25500</v>
      </c>
      <c r="CT5" s="68">
        <v>2000</v>
      </c>
      <c r="CU5" s="10"/>
      <c r="CV5" s="68">
        <v>7000</v>
      </c>
      <c r="CW5" s="68">
        <v>1500</v>
      </c>
      <c r="CX5" s="68">
        <v>12000</v>
      </c>
      <c r="CY5" s="19"/>
      <c r="CZ5" s="20" t="s">
        <v>80</v>
      </c>
      <c r="DA5" s="10">
        <v>157460</v>
      </c>
      <c r="DB5" s="11"/>
      <c r="DC5" s="27" t="s">
        <v>17</v>
      </c>
      <c r="DD5" s="69">
        <f>SUM(CS2:CX35)</f>
        <v>1588500</v>
      </c>
      <c r="DF5" s="39" t="s">
        <v>17</v>
      </c>
      <c r="DG5" s="49"/>
      <c r="DH5" s="50">
        <f>SUM(U5,AR5,BM5,CI5,DD5)</f>
        <v>13196362</v>
      </c>
      <c r="DI5" s="51"/>
    </row>
    <row r="6" ht="15" customHeight="1" spans="1:113">
      <c r="A6" s="9">
        <v>17000</v>
      </c>
      <c r="B6" s="9">
        <v>32000</v>
      </c>
      <c r="C6" s="9">
        <v>3000</v>
      </c>
      <c r="D6" s="9">
        <v>31000</v>
      </c>
      <c r="E6" s="9">
        <v>1500</v>
      </c>
      <c r="F6" s="9">
        <v>23000</v>
      </c>
      <c r="G6" s="9">
        <v>18500</v>
      </c>
      <c r="H6" s="9"/>
      <c r="I6" s="11"/>
      <c r="J6" s="68">
        <v>2000</v>
      </c>
      <c r="K6" s="68">
        <v>24020</v>
      </c>
      <c r="L6" s="10"/>
      <c r="M6" s="68">
        <v>50000</v>
      </c>
      <c r="N6" s="68">
        <v>10500</v>
      </c>
      <c r="O6" s="68">
        <v>5000</v>
      </c>
      <c r="P6" s="19"/>
      <c r="Q6" s="20" t="s">
        <v>60</v>
      </c>
      <c r="R6" s="10">
        <v>260370</v>
      </c>
      <c r="S6" s="11"/>
      <c r="T6" s="28"/>
      <c r="U6" s="70"/>
      <c r="V6" s="24"/>
      <c r="W6" s="9">
        <v>5000</v>
      </c>
      <c r="X6" s="9">
        <v>10500</v>
      </c>
      <c r="Y6" s="9">
        <v>6500</v>
      </c>
      <c r="Z6" s="9">
        <v>4000</v>
      </c>
      <c r="AA6" s="9">
        <v>4800</v>
      </c>
      <c r="AB6" s="9">
        <v>4000</v>
      </c>
      <c r="AC6" s="9"/>
      <c r="AD6" s="11"/>
      <c r="AE6" s="68">
        <v>9610</v>
      </c>
      <c r="AF6" s="68">
        <v>11000</v>
      </c>
      <c r="AG6" s="68">
        <v>20000</v>
      </c>
      <c r="AH6" s="68">
        <v>600</v>
      </c>
      <c r="AI6" s="68">
        <v>15000</v>
      </c>
      <c r="AJ6" s="68">
        <v>17500</v>
      </c>
      <c r="AK6" s="68">
        <v>14500</v>
      </c>
      <c r="AL6" s="68">
        <v>33000</v>
      </c>
      <c r="AM6" s="19"/>
      <c r="AN6" s="20" t="s">
        <v>28</v>
      </c>
      <c r="AO6" s="10">
        <v>868360</v>
      </c>
      <c r="AP6" s="11"/>
      <c r="AQ6" s="28"/>
      <c r="AR6" s="70"/>
      <c r="AT6" s="9">
        <v>5000</v>
      </c>
      <c r="AU6" s="9">
        <v>6500</v>
      </c>
      <c r="AV6" s="9">
        <v>9000</v>
      </c>
      <c r="AW6" s="9">
        <v>4000</v>
      </c>
      <c r="AX6" s="9">
        <v>1500</v>
      </c>
      <c r="AY6" s="9">
        <v>5500</v>
      </c>
      <c r="AZ6" s="9">
        <v>15000</v>
      </c>
      <c r="BA6" s="11"/>
      <c r="BB6" s="68">
        <v>9610</v>
      </c>
      <c r="BC6" s="68">
        <v>45630</v>
      </c>
      <c r="BD6" s="10"/>
      <c r="BE6" s="68">
        <v>7000</v>
      </c>
      <c r="BF6" s="68">
        <v>12000</v>
      </c>
      <c r="BG6" s="68">
        <v>10500</v>
      </c>
      <c r="BH6" s="19"/>
      <c r="BI6" s="20" t="s">
        <v>156</v>
      </c>
      <c r="BJ6" s="10">
        <v>382653</v>
      </c>
      <c r="BK6" s="11"/>
      <c r="BL6" s="28"/>
      <c r="BM6" s="70"/>
      <c r="BO6" s="9">
        <v>6900</v>
      </c>
      <c r="BP6" s="9">
        <v>9000</v>
      </c>
      <c r="BQ6" s="9">
        <v>80000</v>
      </c>
      <c r="BR6" s="9">
        <v>3800</v>
      </c>
      <c r="BS6" s="9">
        <v>2800</v>
      </c>
      <c r="BT6" s="9">
        <v>48500</v>
      </c>
      <c r="BU6" s="9">
        <v>7000</v>
      </c>
      <c r="BV6" s="9"/>
      <c r="BW6" s="11"/>
      <c r="BX6" s="68">
        <v>1600</v>
      </c>
      <c r="BY6" s="68">
        <v>43230</v>
      </c>
      <c r="BZ6" s="68">
        <v>52840</v>
      </c>
      <c r="CA6" s="68">
        <v>6500</v>
      </c>
      <c r="CB6" s="68">
        <v>32600</v>
      </c>
      <c r="CC6" s="68">
        <v>10000</v>
      </c>
      <c r="CD6" s="19"/>
      <c r="CE6" s="20" t="s">
        <v>140</v>
      </c>
      <c r="CF6" s="10">
        <v>501570</v>
      </c>
      <c r="CG6" s="11"/>
      <c r="CH6" s="28"/>
      <c r="CI6" s="70"/>
      <c r="CK6" s="9">
        <v>2000</v>
      </c>
      <c r="CL6" s="9">
        <v>1500</v>
      </c>
      <c r="CM6" s="9">
        <v>2000</v>
      </c>
      <c r="CN6" s="9">
        <v>35000</v>
      </c>
      <c r="CO6" s="9">
        <v>1500</v>
      </c>
      <c r="CP6" s="9">
        <v>15000</v>
      </c>
      <c r="CQ6" s="9"/>
      <c r="CR6" s="11"/>
      <c r="CS6" s="68">
        <v>20170</v>
      </c>
      <c r="CT6" s="68">
        <v>42500</v>
      </c>
      <c r="CU6" s="10"/>
      <c r="CV6" s="68">
        <v>14500</v>
      </c>
      <c r="CW6" s="68">
        <v>500</v>
      </c>
      <c r="CX6" s="68">
        <v>11700</v>
      </c>
      <c r="CY6" s="19"/>
      <c r="CZ6" s="20" t="s">
        <v>136</v>
      </c>
      <c r="DA6" s="10">
        <v>385000</v>
      </c>
      <c r="DB6" s="11"/>
      <c r="DC6" s="28"/>
      <c r="DD6" s="70"/>
      <c r="DF6" s="40"/>
      <c r="DG6" s="52"/>
      <c r="DH6" s="53"/>
      <c r="DI6" s="54"/>
    </row>
    <row r="7" ht="15" customHeight="1" spans="1:113">
      <c r="A7" s="9">
        <v>16500</v>
      </c>
      <c r="B7" s="9">
        <v>6000</v>
      </c>
      <c r="C7" s="9">
        <v>23000</v>
      </c>
      <c r="D7" s="9">
        <v>800</v>
      </c>
      <c r="E7" s="9">
        <v>48500</v>
      </c>
      <c r="F7" s="9">
        <v>1500</v>
      </c>
      <c r="G7" s="9">
        <v>14800</v>
      </c>
      <c r="H7" s="9"/>
      <c r="I7" s="11"/>
      <c r="J7" s="68">
        <v>42300</v>
      </c>
      <c r="K7" s="68">
        <v>14780</v>
      </c>
      <c r="L7" s="10"/>
      <c r="M7" s="68">
        <v>18100</v>
      </c>
      <c r="N7" s="68">
        <v>2500</v>
      </c>
      <c r="O7" s="68">
        <v>1100</v>
      </c>
      <c r="P7" s="19"/>
      <c r="Q7" s="20" t="s">
        <v>123</v>
      </c>
      <c r="R7" s="10">
        <v>174000</v>
      </c>
      <c r="S7" s="11"/>
      <c r="T7" s="27" t="s">
        <v>1</v>
      </c>
      <c r="U7" s="69">
        <f>SUM(R2:R35)</f>
        <v>3959700</v>
      </c>
      <c r="V7" s="24"/>
      <c r="W7" s="9">
        <v>15500</v>
      </c>
      <c r="X7" s="9">
        <v>5100</v>
      </c>
      <c r="Y7" s="9">
        <v>11000</v>
      </c>
      <c r="Z7" s="9">
        <v>2000</v>
      </c>
      <c r="AA7" s="9">
        <v>9000</v>
      </c>
      <c r="AB7" s="9">
        <v>5000</v>
      </c>
      <c r="AC7" s="9"/>
      <c r="AD7" s="11"/>
      <c r="AE7" s="68">
        <v>4320</v>
      </c>
      <c r="AF7" s="68">
        <v>7200</v>
      </c>
      <c r="AG7" s="68">
        <v>5760</v>
      </c>
      <c r="AH7" s="68">
        <v>5500</v>
      </c>
      <c r="AI7" s="68">
        <v>4500</v>
      </c>
      <c r="AJ7" s="68">
        <v>12500</v>
      </c>
      <c r="AK7" s="68">
        <v>10000</v>
      </c>
      <c r="AL7" s="10"/>
      <c r="AM7" s="19"/>
      <c r="AN7" s="20" t="s">
        <v>15</v>
      </c>
      <c r="AO7" s="10">
        <v>82200</v>
      </c>
      <c r="AP7" s="11"/>
      <c r="AQ7" s="27" t="s">
        <v>1</v>
      </c>
      <c r="AR7" s="69">
        <f>SUM(AO2:AO35)</f>
        <v>4139530</v>
      </c>
      <c r="AT7" s="9">
        <v>1500</v>
      </c>
      <c r="AU7" s="9">
        <v>6500</v>
      </c>
      <c r="AV7" s="9">
        <v>9900</v>
      </c>
      <c r="AW7" s="9">
        <v>4000</v>
      </c>
      <c r="AX7" s="9">
        <v>4500</v>
      </c>
      <c r="AY7" s="9">
        <v>6000</v>
      </c>
      <c r="AZ7" s="9">
        <v>1000</v>
      </c>
      <c r="BA7" s="11"/>
      <c r="BB7" s="68">
        <v>6720</v>
      </c>
      <c r="BC7" s="68">
        <v>13000</v>
      </c>
      <c r="BD7" s="10"/>
      <c r="BE7" s="68">
        <v>6700</v>
      </c>
      <c r="BF7" s="68">
        <v>9000</v>
      </c>
      <c r="BG7" s="68">
        <v>5000</v>
      </c>
      <c r="BH7" s="19"/>
      <c r="BI7" s="20" t="s">
        <v>157</v>
      </c>
      <c r="BJ7" s="10">
        <v>67600</v>
      </c>
      <c r="BK7" s="11"/>
      <c r="BL7" s="27" t="s">
        <v>1</v>
      </c>
      <c r="BM7" s="69">
        <f>SUM(BJ2:BJ35)</f>
        <v>5127681</v>
      </c>
      <c r="BO7" s="9">
        <v>6000</v>
      </c>
      <c r="BP7" s="9">
        <v>20600</v>
      </c>
      <c r="BQ7" s="9">
        <v>5000</v>
      </c>
      <c r="BR7" s="9">
        <v>2000</v>
      </c>
      <c r="BS7" s="9">
        <v>7000</v>
      </c>
      <c r="BT7" s="9">
        <v>6000</v>
      </c>
      <c r="BU7" s="9">
        <v>8000</v>
      </c>
      <c r="BV7" s="9"/>
      <c r="BW7" s="11"/>
      <c r="BX7" s="68">
        <v>1600</v>
      </c>
      <c r="BY7" s="68">
        <v>16620</v>
      </c>
      <c r="BZ7" s="68">
        <v>70000</v>
      </c>
      <c r="CA7" s="68">
        <v>14000</v>
      </c>
      <c r="CB7" s="68">
        <v>1500</v>
      </c>
      <c r="CC7" s="68">
        <v>5000</v>
      </c>
      <c r="CD7" s="19"/>
      <c r="CE7" s="20" t="s">
        <v>44</v>
      </c>
      <c r="CF7" s="10">
        <v>210150</v>
      </c>
      <c r="CG7" s="11"/>
      <c r="CH7" s="27" t="s">
        <v>1</v>
      </c>
      <c r="CI7" s="69">
        <f>SUM(CF2:CF35)</f>
        <v>3615874</v>
      </c>
      <c r="CK7" s="9">
        <v>200</v>
      </c>
      <c r="CL7" s="9">
        <v>800</v>
      </c>
      <c r="CM7" s="9">
        <v>3800</v>
      </c>
      <c r="CN7" s="9">
        <v>14300</v>
      </c>
      <c r="CO7" s="9">
        <v>31600</v>
      </c>
      <c r="CP7" s="9">
        <v>15000</v>
      </c>
      <c r="CQ7" s="9"/>
      <c r="CR7" s="11"/>
      <c r="CS7" s="68">
        <v>3500</v>
      </c>
      <c r="CT7" s="68">
        <v>26000</v>
      </c>
      <c r="CU7" s="10"/>
      <c r="CV7" s="68">
        <v>10200</v>
      </c>
      <c r="CW7" s="68">
        <v>9000</v>
      </c>
      <c r="CX7" s="68">
        <v>37300</v>
      </c>
      <c r="CY7" s="19"/>
      <c r="CZ7" s="20" t="s">
        <v>136</v>
      </c>
      <c r="DA7" s="10">
        <v>164000</v>
      </c>
      <c r="DB7" s="11"/>
      <c r="DC7" s="27" t="s">
        <v>1</v>
      </c>
      <c r="DD7" s="69">
        <f>SUM(DA2:DA35)</f>
        <v>6739221</v>
      </c>
      <c r="DF7" s="39" t="s">
        <v>1</v>
      </c>
      <c r="DG7" s="49"/>
      <c r="DH7" s="50">
        <f>SUM(U7,AR7,BM7,CI7,DD7)</f>
        <v>23582006</v>
      </c>
      <c r="DI7" s="51"/>
    </row>
    <row r="8" ht="15" customHeight="1" spans="1:113">
      <c r="A8" s="9">
        <v>8900</v>
      </c>
      <c r="B8" s="9">
        <v>500</v>
      </c>
      <c r="C8" s="9">
        <v>5800</v>
      </c>
      <c r="D8" s="9">
        <v>44000</v>
      </c>
      <c r="E8" s="9">
        <v>2600</v>
      </c>
      <c r="F8" s="9">
        <v>500</v>
      </c>
      <c r="G8" s="9">
        <v>6500</v>
      </c>
      <c r="H8" s="9"/>
      <c r="I8" s="11"/>
      <c r="J8" s="68">
        <v>4620</v>
      </c>
      <c r="K8" s="68">
        <v>8000</v>
      </c>
      <c r="L8" s="10"/>
      <c r="M8" s="68">
        <v>15500</v>
      </c>
      <c r="N8" s="68">
        <v>30000</v>
      </c>
      <c r="O8" s="68">
        <v>20000</v>
      </c>
      <c r="P8" s="19"/>
      <c r="Q8" s="20" t="s">
        <v>72</v>
      </c>
      <c r="R8" s="10">
        <v>61300</v>
      </c>
      <c r="S8" s="11"/>
      <c r="T8" s="28"/>
      <c r="U8" s="70"/>
      <c r="V8" s="24"/>
      <c r="W8" s="9">
        <v>4500</v>
      </c>
      <c r="X8" s="9">
        <v>65000</v>
      </c>
      <c r="Y8" s="9">
        <v>4000</v>
      </c>
      <c r="Z8" s="9">
        <v>1500</v>
      </c>
      <c r="AA8" s="9">
        <v>3500</v>
      </c>
      <c r="AB8" s="9">
        <v>31000</v>
      </c>
      <c r="AC8" s="9"/>
      <c r="AD8" s="11"/>
      <c r="AE8" s="68">
        <v>238420</v>
      </c>
      <c r="AF8" s="68">
        <v>22500</v>
      </c>
      <c r="AG8" s="68">
        <v>3000</v>
      </c>
      <c r="AH8" s="68">
        <v>31000</v>
      </c>
      <c r="AI8" s="68">
        <v>1440</v>
      </c>
      <c r="AJ8" s="68">
        <v>30000</v>
      </c>
      <c r="AK8" s="68">
        <v>6500</v>
      </c>
      <c r="AL8" s="10"/>
      <c r="AM8" s="19"/>
      <c r="AN8" s="20" t="s">
        <v>140</v>
      </c>
      <c r="AO8" s="10">
        <v>440000</v>
      </c>
      <c r="AP8" s="11"/>
      <c r="AQ8" s="28"/>
      <c r="AR8" s="70"/>
      <c r="AT8" s="9">
        <v>800</v>
      </c>
      <c r="AU8" s="9">
        <v>5500</v>
      </c>
      <c r="AV8" s="9">
        <v>10000</v>
      </c>
      <c r="AW8" s="9">
        <v>1200</v>
      </c>
      <c r="AX8" s="9">
        <v>15000</v>
      </c>
      <c r="AY8" s="9">
        <v>40400</v>
      </c>
      <c r="AZ8" s="9">
        <v>4500</v>
      </c>
      <c r="BA8" s="11"/>
      <c r="BB8" s="68">
        <v>52290</v>
      </c>
      <c r="BC8" s="68">
        <v>18500</v>
      </c>
      <c r="BD8" s="10"/>
      <c r="BE8" s="68">
        <v>42000</v>
      </c>
      <c r="BF8" s="68">
        <v>45500</v>
      </c>
      <c r="BG8" s="68">
        <v>6700</v>
      </c>
      <c r="BH8" s="19"/>
      <c r="BI8" s="20" t="s">
        <v>10</v>
      </c>
      <c r="BJ8" s="10">
        <v>170000</v>
      </c>
      <c r="BK8" s="11"/>
      <c r="BL8" s="28"/>
      <c r="BM8" s="70"/>
      <c r="BO8" s="9">
        <v>14000</v>
      </c>
      <c r="BP8" s="9">
        <v>3000</v>
      </c>
      <c r="BQ8" s="9">
        <v>8200</v>
      </c>
      <c r="BR8" s="9">
        <v>8000</v>
      </c>
      <c r="BS8" s="9">
        <v>26500</v>
      </c>
      <c r="BT8" s="9">
        <v>2000</v>
      </c>
      <c r="BU8" s="9">
        <v>6000</v>
      </c>
      <c r="BV8" s="9"/>
      <c r="BW8" s="11"/>
      <c r="BX8" s="68">
        <v>5000</v>
      </c>
      <c r="BY8" s="68">
        <v>1920</v>
      </c>
      <c r="BZ8" s="68">
        <v>13500</v>
      </c>
      <c r="CA8" s="68">
        <v>20650</v>
      </c>
      <c r="CB8" s="68">
        <v>1500</v>
      </c>
      <c r="CC8" s="68">
        <v>1000</v>
      </c>
      <c r="CD8" s="19"/>
      <c r="CE8" s="20" t="s">
        <v>52</v>
      </c>
      <c r="CF8" s="10">
        <v>55780</v>
      </c>
      <c r="CG8" s="11"/>
      <c r="CH8" s="28"/>
      <c r="CI8" s="70"/>
      <c r="CK8" s="9">
        <v>4000</v>
      </c>
      <c r="CL8" s="9">
        <v>900</v>
      </c>
      <c r="CM8" s="9">
        <v>4000</v>
      </c>
      <c r="CN8" s="9">
        <v>5500</v>
      </c>
      <c r="CO8" s="9">
        <v>2200</v>
      </c>
      <c r="CP8" s="9">
        <v>12500</v>
      </c>
      <c r="CQ8" s="9"/>
      <c r="CR8" s="11"/>
      <c r="CS8" s="68">
        <v>60760</v>
      </c>
      <c r="CT8" s="68">
        <v>2770</v>
      </c>
      <c r="CU8" s="10"/>
      <c r="CV8" s="68">
        <v>4500</v>
      </c>
      <c r="CW8" s="68">
        <v>4500</v>
      </c>
      <c r="CX8" s="68">
        <v>4000</v>
      </c>
      <c r="CY8" s="19"/>
      <c r="CZ8" s="20" t="s">
        <v>82</v>
      </c>
      <c r="DA8" s="10">
        <v>23400</v>
      </c>
      <c r="DB8" s="11"/>
      <c r="DC8" s="28"/>
      <c r="DD8" s="70"/>
      <c r="DF8" s="40"/>
      <c r="DG8" s="52"/>
      <c r="DH8" s="53"/>
      <c r="DI8" s="54"/>
    </row>
    <row r="9" ht="15" customHeight="1" spans="1:113">
      <c r="A9" s="9">
        <v>6600</v>
      </c>
      <c r="B9" s="9">
        <v>1000</v>
      </c>
      <c r="C9" s="9">
        <v>3500</v>
      </c>
      <c r="D9" s="9">
        <v>5000</v>
      </c>
      <c r="E9" s="9">
        <v>5000</v>
      </c>
      <c r="F9" s="9">
        <v>20000</v>
      </c>
      <c r="G9" s="9">
        <v>26400</v>
      </c>
      <c r="H9" s="9"/>
      <c r="I9" s="11"/>
      <c r="J9" s="68">
        <v>55900</v>
      </c>
      <c r="K9" s="68">
        <v>2500</v>
      </c>
      <c r="L9" s="10"/>
      <c r="M9" s="68">
        <v>12000</v>
      </c>
      <c r="N9" s="68">
        <v>2000</v>
      </c>
      <c r="O9" s="68">
        <v>4500</v>
      </c>
      <c r="P9" s="19"/>
      <c r="Q9" s="20" t="s">
        <v>5</v>
      </c>
      <c r="R9" s="10">
        <v>553530</v>
      </c>
      <c r="S9" s="11"/>
      <c r="T9" s="29" t="s">
        <v>33</v>
      </c>
      <c r="U9" s="71">
        <f>U3+U5</f>
        <v>5441390</v>
      </c>
      <c r="V9" s="24"/>
      <c r="W9" s="9">
        <v>4500</v>
      </c>
      <c r="X9" s="9">
        <v>2000</v>
      </c>
      <c r="Y9" s="9">
        <v>3800</v>
      </c>
      <c r="Z9" s="9">
        <v>18300</v>
      </c>
      <c r="AA9" s="9">
        <v>5500</v>
      </c>
      <c r="AB9" s="9">
        <v>23000</v>
      </c>
      <c r="AC9" s="9"/>
      <c r="AD9" s="11"/>
      <c r="AE9" s="68">
        <v>12490</v>
      </c>
      <c r="AF9" s="68">
        <v>5590</v>
      </c>
      <c r="AG9" s="68">
        <v>2500</v>
      </c>
      <c r="AH9" s="68">
        <v>7500</v>
      </c>
      <c r="AI9" s="68">
        <v>30000</v>
      </c>
      <c r="AJ9" s="68">
        <v>5000</v>
      </c>
      <c r="AK9" s="68">
        <v>66000</v>
      </c>
      <c r="AL9" s="10"/>
      <c r="AM9" s="19"/>
      <c r="AN9" s="20" t="s">
        <v>58</v>
      </c>
      <c r="AO9" s="10">
        <v>164400</v>
      </c>
      <c r="AP9" s="11"/>
      <c r="AQ9" s="29" t="s">
        <v>33</v>
      </c>
      <c r="AR9" s="71">
        <f>AR3+AR5</f>
        <v>5503070</v>
      </c>
      <c r="AT9" s="9">
        <v>4400</v>
      </c>
      <c r="AU9" s="9">
        <v>6000</v>
      </c>
      <c r="AV9" s="9">
        <v>10000</v>
      </c>
      <c r="AW9" s="9">
        <v>14800</v>
      </c>
      <c r="AX9" s="9">
        <v>2000</v>
      </c>
      <c r="AY9" s="9">
        <v>3000</v>
      </c>
      <c r="AZ9" s="9">
        <v>29000</v>
      </c>
      <c r="BA9" s="11"/>
      <c r="BB9" s="68">
        <v>35550</v>
      </c>
      <c r="BC9" s="68">
        <v>1920</v>
      </c>
      <c r="BD9" s="10"/>
      <c r="BE9" s="68">
        <v>14000</v>
      </c>
      <c r="BF9" s="68">
        <v>39000</v>
      </c>
      <c r="BG9" s="68">
        <v>29500</v>
      </c>
      <c r="BH9" s="19"/>
      <c r="BI9" s="20" t="s">
        <v>14</v>
      </c>
      <c r="BJ9" s="10">
        <v>894000</v>
      </c>
      <c r="BK9" s="11"/>
      <c r="BL9" s="29" t="s">
        <v>33</v>
      </c>
      <c r="BM9" s="71">
        <f>BM3+BM5</f>
        <v>4867040</v>
      </c>
      <c r="BO9" s="9">
        <v>1800</v>
      </c>
      <c r="BP9" s="9">
        <v>3500</v>
      </c>
      <c r="BQ9" s="9">
        <v>5500</v>
      </c>
      <c r="BR9" s="9">
        <v>16000</v>
      </c>
      <c r="BS9" s="9">
        <v>5000</v>
      </c>
      <c r="BT9" s="9">
        <v>20000</v>
      </c>
      <c r="BU9" s="9"/>
      <c r="BV9" s="9"/>
      <c r="BW9" s="11"/>
      <c r="BX9" s="68">
        <v>8500</v>
      </c>
      <c r="BY9" s="68">
        <v>6250</v>
      </c>
      <c r="BZ9" s="68">
        <v>12000</v>
      </c>
      <c r="CA9" s="68">
        <v>6000</v>
      </c>
      <c r="CB9" s="68">
        <v>3300</v>
      </c>
      <c r="CC9" s="68">
        <v>3500</v>
      </c>
      <c r="CD9" s="19"/>
      <c r="CE9" s="20" t="s">
        <v>75</v>
      </c>
      <c r="CF9" s="10">
        <v>45000</v>
      </c>
      <c r="CG9" s="11"/>
      <c r="CH9" s="29" t="s">
        <v>33</v>
      </c>
      <c r="CI9" s="71">
        <f>CI3+CI5</f>
        <v>4933042</v>
      </c>
      <c r="CK9" s="9">
        <v>1500</v>
      </c>
      <c r="CL9" s="9">
        <v>27000</v>
      </c>
      <c r="CM9" s="9">
        <v>15000</v>
      </c>
      <c r="CN9" s="9">
        <v>1500</v>
      </c>
      <c r="CO9" s="9">
        <v>7500</v>
      </c>
      <c r="CP9" s="9">
        <v>1500</v>
      </c>
      <c r="CQ9" s="9"/>
      <c r="CR9" s="11"/>
      <c r="CS9" s="68">
        <v>10000</v>
      </c>
      <c r="CT9" s="68">
        <v>47460</v>
      </c>
      <c r="CU9" s="10"/>
      <c r="CV9" s="68">
        <v>14400</v>
      </c>
      <c r="CW9" s="68">
        <v>500</v>
      </c>
      <c r="CX9" s="68">
        <v>7000</v>
      </c>
      <c r="CY9" s="19"/>
      <c r="CZ9" s="20" t="s">
        <v>22</v>
      </c>
      <c r="DA9" s="10">
        <v>849800</v>
      </c>
      <c r="DB9" s="11"/>
      <c r="DC9" s="29" t="s">
        <v>33</v>
      </c>
      <c r="DD9" s="71">
        <f>DD3+DD5</f>
        <v>3282310</v>
      </c>
      <c r="DF9" s="41" t="s">
        <v>33</v>
      </c>
      <c r="DG9" s="55"/>
      <c r="DH9" s="56">
        <f>DH3+DH5</f>
        <v>24026852</v>
      </c>
      <c r="DI9" s="57"/>
    </row>
    <row r="10" ht="15" customHeight="1" spans="1:113">
      <c r="A10" s="9">
        <v>2500</v>
      </c>
      <c r="B10" s="9">
        <v>600</v>
      </c>
      <c r="C10" s="9">
        <v>10000</v>
      </c>
      <c r="D10" s="9">
        <v>14000</v>
      </c>
      <c r="E10" s="9">
        <v>4000</v>
      </c>
      <c r="F10" s="9">
        <v>1200</v>
      </c>
      <c r="G10" s="9">
        <v>1500</v>
      </c>
      <c r="H10" s="9"/>
      <c r="I10" s="11"/>
      <c r="J10" s="68">
        <v>3200</v>
      </c>
      <c r="K10" s="68">
        <v>2000</v>
      </c>
      <c r="L10" s="10"/>
      <c r="M10" s="68">
        <v>18000</v>
      </c>
      <c r="N10" s="68">
        <v>18000</v>
      </c>
      <c r="O10" s="68">
        <v>18000</v>
      </c>
      <c r="P10" s="19"/>
      <c r="Q10" s="20" t="s">
        <v>158</v>
      </c>
      <c r="R10" s="10">
        <v>130000</v>
      </c>
      <c r="S10" s="11"/>
      <c r="T10" s="29" t="s">
        <v>36</v>
      </c>
      <c r="U10" s="71">
        <f>U1+U3+U5-U7+U15+U16</f>
        <v>3381550</v>
      </c>
      <c r="V10" s="24"/>
      <c r="W10" s="9">
        <v>2500</v>
      </c>
      <c r="X10" s="9">
        <v>35000</v>
      </c>
      <c r="Y10" s="9">
        <v>8300</v>
      </c>
      <c r="Z10" s="9">
        <v>15000</v>
      </c>
      <c r="AA10" s="9">
        <v>4000</v>
      </c>
      <c r="AB10" s="9">
        <v>12000</v>
      </c>
      <c r="AC10" s="9"/>
      <c r="AD10" s="11"/>
      <c r="AE10" s="68">
        <v>43400</v>
      </c>
      <c r="AF10" s="68">
        <v>3500</v>
      </c>
      <c r="AG10" s="68">
        <v>16000</v>
      </c>
      <c r="AH10" s="68">
        <v>12500</v>
      </c>
      <c r="AI10" s="68">
        <v>7680</v>
      </c>
      <c r="AJ10" s="68">
        <v>8000</v>
      </c>
      <c r="AK10" s="68">
        <v>17500</v>
      </c>
      <c r="AL10" s="10"/>
      <c r="AM10" s="19"/>
      <c r="AN10" s="20" t="s">
        <v>51</v>
      </c>
      <c r="AO10" s="10">
        <v>100000</v>
      </c>
      <c r="AP10" s="11"/>
      <c r="AQ10" s="29" t="s">
        <v>36</v>
      </c>
      <c r="AR10" s="71">
        <f>AR1+AR3+AR5-AR7+AR15+AR16</f>
        <v>4130080</v>
      </c>
      <c r="AT10" s="9">
        <v>3000</v>
      </c>
      <c r="AU10" s="9">
        <v>6500</v>
      </c>
      <c r="AV10" s="9">
        <v>1000</v>
      </c>
      <c r="AW10" s="9">
        <v>8000</v>
      </c>
      <c r="AX10" s="9">
        <v>14000</v>
      </c>
      <c r="AY10" s="9">
        <v>9000</v>
      </c>
      <c r="AZ10" s="9">
        <v>46800</v>
      </c>
      <c r="BA10" s="11"/>
      <c r="BB10" s="68">
        <v>14800</v>
      </c>
      <c r="BC10" s="68">
        <v>3000</v>
      </c>
      <c r="BD10" s="10"/>
      <c r="BE10" s="68">
        <v>14000</v>
      </c>
      <c r="BF10" s="68">
        <v>8000</v>
      </c>
      <c r="BG10" s="68">
        <v>5000</v>
      </c>
      <c r="BH10" s="19"/>
      <c r="BI10" s="20" t="s">
        <v>14</v>
      </c>
      <c r="BJ10" s="10">
        <v>744828</v>
      </c>
      <c r="BK10" s="11"/>
      <c r="BL10" s="29" t="s">
        <v>36</v>
      </c>
      <c r="BM10" s="71">
        <f>BM1+BM3+BM5-BM7+BM15+BM16</f>
        <v>2751299</v>
      </c>
      <c r="BO10" s="9">
        <v>2000</v>
      </c>
      <c r="BP10" s="9">
        <v>3500</v>
      </c>
      <c r="BQ10" s="9">
        <v>6000</v>
      </c>
      <c r="BR10" s="9">
        <v>20000</v>
      </c>
      <c r="BS10" s="9">
        <v>7000</v>
      </c>
      <c r="BT10" s="9">
        <v>6500</v>
      </c>
      <c r="BU10" s="9"/>
      <c r="BV10" s="9"/>
      <c r="BW10" s="11"/>
      <c r="BX10" s="68">
        <v>5760</v>
      </c>
      <c r="BY10" s="68">
        <v>9610</v>
      </c>
      <c r="BZ10" s="68">
        <v>15000</v>
      </c>
      <c r="CA10" s="68">
        <v>24000</v>
      </c>
      <c r="CB10" s="68">
        <v>6000</v>
      </c>
      <c r="CC10" s="68">
        <v>8000</v>
      </c>
      <c r="CD10" s="19"/>
      <c r="CE10" s="20" t="s">
        <v>82</v>
      </c>
      <c r="CF10" s="10">
        <v>44000</v>
      </c>
      <c r="CG10" s="11"/>
      <c r="CH10" s="29" t="s">
        <v>36</v>
      </c>
      <c r="CI10" s="71">
        <f>CI1+CI3+CI5-CI7+CI15+CI16</f>
        <v>5260958</v>
      </c>
      <c r="CK10" s="9">
        <v>3000</v>
      </c>
      <c r="CL10" s="9">
        <v>2000</v>
      </c>
      <c r="CM10" s="9">
        <v>13000</v>
      </c>
      <c r="CN10" s="9">
        <v>2500</v>
      </c>
      <c r="CO10" s="9">
        <v>4500</v>
      </c>
      <c r="CP10" s="9">
        <v>30000</v>
      </c>
      <c r="CQ10" s="9"/>
      <c r="CR10" s="11"/>
      <c r="CS10" s="68">
        <v>2400</v>
      </c>
      <c r="CT10" s="68">
        <v>5000</v>
      </c>
      <c r="CU10" s="10"/>
      <c r="CV10" s="68">
        <v>5000</v>
      </c>
      <c r="CW10" s="68">
        <v>22000</v>
      </c>
      <c r="CX10" s="68">
        <v>12000</v>
      </c>
      <c r="CY10" s="19"/>
      <c r="CZ10" s="20" t="s">
        <v>24</v>
      </c>
      <c r="DA10" s="10">
        <v>11320</v>
      </c>
      <c r="DB10" s="11"/>
      <c r="DC10" s="29" t="s">
        <v>36</v>
      </c>
      <c r="DD10" s="71">
        <f>DD1+DD3+DD5-DD7+DD15+DD16</f>
        <v>1282729</v>
      </c>
      <c r="DF10" s="42"/>
      <c r="DG10" s="58"/>
      <c r="DH10" s="59"/>
      <c r="DI10" s="60"/>
    </row>
    <row r="11" ht="15" customHeight="1" spans="1:113">
      <c r="A11" s="9">
        <v>13500</v>
      </c>
      <c r="B11" s="9">
        <v>2000</v>
      </c>
      <c r="C11" s="9">
        <v>1600</v>
      </c>
      <c r="D11" s="9">
        <v>18000</v>
      </c>
      <c r="E11" s="9">
        <v>14000</v>
      </c>
      <c r="F11" s="9">
        <v>8500</v>
      </c>
      <c r="G11" s="9">
        <v>3000</v>
      </c>
      <c r="H11" s="9"/>
      <c r="I11" s="11"/>
      <c r="J11" s="68">
        <v>21620</v>
      </c>
      <c r="K11" s="68">
        <v>10950</v>
      </c>
      <c r="L11" s="10"/>
      <c r="M11" s="68">
        <v>14000</v>
      </c>
      <c r="N11" s="68">
        <v>5000</v>
      </c>
      <c r="O11" s="68">
        <v>2000</v>
      </c>
      <c r="P11" s="19"/>
      <c r="Q11" s="20" t="s">
        <v>10</v>
      </c>
      <c r="R11" s="10">
        <v>112800</v>
      </c>
      <c r="S11" s="11"/>
      <c r="T11" s="29" t="s">
        <v>40</v>
      </c>
      <c r="U11" s="71">
        <f>U9/7</f>
        <v>777341.428571429</v>
      </c>
      <c r="V11" s="24"/>
      <c r="W11" s="9">
        <v>3500</v>
      </c>
      <c r="X11" s="9">
        <v>9000</v>
      </c>
      <c r="Y11" s="9">
        <v>7000</v>
      </c>
      <c r="Z11" s="9">
        <v>4000</v>
      </c>
      <c r="AA11" s="9">
        <v>3800</v>
      </c>
      <c r="AB11" s="9">
        <v>2300</v>
      </c>
      <c r="AC11" s="9"/>
      <c r="AD11" s="11"/>
      <c r="AE11" s="68">
        <v>10370</v>
      </c>
      <c r="AF11" s="68">
        <v>3230</v>
      </c>
      <c r="AG11" s="68">
        <v>3000</v>
      </c>
      <c r="AH11" s="68">
        <v>38420</v>
      </c>
      <c r="AI11" s="68">
        <v>4950</v>
      </c>
      <c r="AJ11" s="68">
        <v>5000</v>
      </c>
      <c r="AK11" s="68">
        <v>7500</v>
      </c>
      <c r="AL11" s="10"/>
      <c r="AM11" s="19"/>
      <c r="AN11" s="20" t="s">
        <v>69</v>
      </c>
      <c r="AO11" s="10">
        <v>33400</v>
      </c>
      <c r="AP11" s="11"/>
      <c r="AQ11" s="29" t="s">
        <v>40</v>
      </c>
      <c r="AR11" s="71">
        <f>AR9/7</f>
        <v>786152.857142857</v>
      </c>
      <c r="AT11" s="9">
        <v>3800</v>
      </c>
      <c r="AU11" s="9">
        <v>5800</v>
      </c>
      <c r="AV11" s="9">
        <v>8500</v>
      </c>
      <c r="AW11" s="9">
        <v>11500</v>
      </c>
      <c r="AX11" s="9">
        <v>43000</v>
      </c>
      <c r="AY11" s="9">
        <v>4200</v>
      </c>
      <c r="AZ11" s="9">
        <v>6000</v>
      </c>
      <c r="BA11" s="11"/>
      <c r="BB11" s="68">
        <v>4500</v>
      </c>
      <c r="BC11" s="68">
        <v>15500</v>
      </c>
      <c r="BD11" s="10"/>
      <c r="BE11" s="68">
        <v>1000</v>
      </c>
      <c r="BF11" s="68">
        <v>8500</v>
      </c>
      <c r="BG11" s="68">
        <v>2850</v>
      </c>
      <c r="BH11" s="19"/>
      <c r="BI11" s="20" t="s">
        <v>7</v>
      </c>
      <c r="BJ11" s="10">
        <v>60000</v>
      </c>
      <c r="BK11" s="11"/>
      <c r="BL11" s="29" t="s">
        <v>40</v>
      </c>
      <c r="BM11" s="71">
        <f>BM9/7</f>
        <v>695291.428571429</v>
      </c>
      <c r="BO11" s="9">
        <v>1500</v>
      </c>
      <c r="BP11" s="9">
        <v>500</v>
      </c>
      <c r="BQ11" s="9">
        <v>12000</v>
      </c>
      <c r="BR11" s="9">
        <v>1200</v>
      </c>
      <c r="BS11" s="9">
        <v>3500</v>
      </c>
      <c r="BT11" s="9">
        <v>8300</v>
      </c>
      <c r="BU11" s="9"/>
      <c r="BV11" s="9"/>
      <c r="BW11" s="11"/>
      <c r="BX11" s="68">
        <v>1200</v>
      </c>
      <c r="BY11" s="68">
        <v>3550</v>
      </c>
      <c r="BZ11" s="68">
        <v>3500</v>
      </c>
      <c r="CA11" s="68">
        <v>8000</v>
      </c>
      <c r="CB11" s="68">
        <v>5000</v>
      </c>
      <c r="CC11" s="68">
        <v>3000</v>
      </c>
      <c r="CD11" s="19"/>
      <c r="CE11" s="20" t="s">
        <v>58</v>
      </c>
      <c r="CF11" s="10">
        <v>94300</v>
      </c>
      <c r="CG11" s="11"/>
      <c r="CH11" s="29" t="s">
        <v>40</v>
      </c>
      <c r="CI11" s="71">
        <f>CI9/7</f>
        <v>704720.285714286</v>
      </c>
      <c r="CK11" s="9">
        <v>400</v>
      </c>
      <c r="CL11" s="9">
        <v>5500</v>
      </c>
      <c r="CM11" s="9">
        <v>4000</v>
      </c>
      <c r="CN11" s="9">
        <v>2500</v>
      </c>
      <c r="CO11" s="9">
        <v>12500</v>
      </c>
      <c r="CP11" s="9"/>
      <c r="CQ11" s="9"/>
      <c r="CR11" s="11"/>
      <c r="CS11" s="68">
        <v>16500</v>
      </c>
      <c r="CT11" s="68">
        <v>6000</v>
      </c>
      <c r="CU11" s="10"/>
      <c r="CV11" s="68">
        <v>12100</v>
      </c>
      <c r="CW11" s="68">
        <v>2500</v>
      </c>
      <c r="CX11" s="68">
        <v>14000</v>
      </c>
      <c r="CY11" s="19"/>
      <c r="CZ11" s="20" t="s">
        <v>16</v>
      </c>
      <c r="DA11" s="10">
        <v>504000</v>
      </c>
      <c r="DB11" s="11"/>
      <c r="DC11" s="29" t="s">
        <v>40</v>
      </c>
      <c r="DD11" s="71">
        <f>DD9/7</f>
        <v>468901.428571429</v>
      </c>
      <c r="DF11" s="43" t="s">
        <v>36</v>
      </c>
      <c r="DG11" s="61"/>
      <c r="DH11" s="62">
        <f>DH9-DH7</f>
        <v>444846</v>
      </c>
      <c r="DI11" s="63"/>
    </row>
    <row r="12" ht="15" customHeight="1" spans="1:113">
      <c r="A12" s="9">
        <v>4500</v>
      </c>
      <c r="B12" s="9">
        <v>12000</v>
      </c>
      <c r="C12" s="9">
        <v>1000</v>
      </c>
      <c r="D12" s="9">
        <v>2000</v>
      </c>
      <c r="E12" s="9">
        <v>1200</v>
      </c>
      <c r="F12" s="9">
        <v>4000</v>
      </c>
      <c r="G12" s="9">
        <v>2000</v>
      </c>
      <c r="H12" s="9"/>
      <c r="I12" s="11"/>
      <c r="J12" s="68">
        <v>3700</v>
      </c>
      <c r="K12" s="68">
        <v>1480</v>
      </c>
      <c r="L12" s="10"/>
      <c r="M12" s="68">
        <v>29000</v>
      </c>
      <c r="N12" s="68">
        <v>2500</v>
      </c>
      <c r="O12" s="68">
        <v>5500</v>
      </c>
      <c r="P12" s="19"/>
      <c r="Q12" s="20" t="s">
        <v>151</v>
      </c>
      <c r="R12" s="10">
        <v>23200</v>
      </c>
      <c r="S12" s="11"/>
      <c r="T12" s="24"/>
      <c r="U12" s="72"/>
      <c r="V12" s="24"/>
      <c r="W12" s="9">
        <v>16000</v>
      </c>
      <c r="X12" s="9">
        <v>3000</v>
      </c>
      <c r="Y12" s="9">
        <v>4000</v>
      </c>
      <c r="Z12" s="9">
        <v>3500</v>
      </c>
      <c r="AA12" s="9">
        <v>2000</v>
      </c>
      <c r="AB12" s="9">
        <v>6500</v>
      </c>
      <c r="AC12" s="9"/>
      <c r="AD12" s="11"/>
      <c r="AE12" s="68">
        <v>740</v>
      </c>
      <c r="AF12" s="68">
        <v>3600</v>
      </c>
      <c r="AG12" s="68">
        <v>7000</v>
      </c>
      <c r="AH12" s="68">
        <v>2300</v>
      </c>
      <c r="AI12" s="68">
        <v>4950</v>
      </c>
      <c r="AJ12" s="68">
        <v>27500</v>
      </c>
      <c r="AK12" s="68">
        <v>8000</v>
      </c>
      <c r="AL12" s="10"/>
      <c r="AM12" s="19"/>
      <c r="AN12" s="20" t="s">
        <v>27</v>
      </c>
      <c r="AO12" s="10">
        <v>82000</v>
      </c>
      <c r="AP12" s="11"/>
      <c r="AQ12" s="24">
        <v>400000</v>
      </c>
      <c r="AR12" s="72">
        <v>100000</v>
      </c>
      <c r="AT12" s="9">
        <v>8500</v>
      </c>
      <c r="AU12" s="9">
        <v>15300</v>
      </c>
      <c r="AV12" s="9">
        <v>17500</v>
      </c>
      <c r="AW12" s="9">
        <v>1800</v>
      </c>
      <c r="AX12" s="9">
        <v>13000</v>
      </c>
      <c r="AY12" s="9">
        <v>5500</v>
      </c>
      <c r="AZ12" s="9">
        <v>5500</v>
      </c>
      <c r="BA12" s="11"/>
      <c r="BB12" s="68">
        <v>20000</v>
      </c>
      <c r="BC12" s="68">
        <v>24000</v>
      </c>
      <c r="BD12" s="10"/>
      <c r="BE12" s="68">
        <v>5500</v>
      </c>
      <c r="BF12" s="68">
        <v>18000</v>
      </c>
      <c r="BG12" s="68">
        <v>10000</v>
      </c>
      <c r="BH12" s="19"/>
      <c r="BI12" s="20" t="s">
        <v>156</v>
      </c>
      <c r="BJ12" s="10">
        <v>56000</v>
      </c>
      <c r="BK12" s="11"/>
      <c r="BL12" s="24"/>
      <c r="BM12" s="72">
        <v>42200</v>
      </c>
      <c r="BO12" s="9">
        <v>9500</v>
      </c>
      <c r="BP12" s="9">
        <v>1500</v>
      </c>
      <c r="BQ12" s="9">
        <v>3000</v>
      </c>
      <c r="BR12" s="9">
        <v>6000</v>
      </c>
      <c r="BS12" s="9">
        <v>1500</v>
      </c>
      <c r="BT12" s="9">
        <v>2000</v>
      </c>
      <c r="BU12" s="9"/>
      <c r="BV12" s="9"/>
      <c r="BW12" s="11"/>
      <c r="BX12" s="68">
        <v>11000</v>
      </c>
      <c r="BY12" s="68">
        <v>6500</v>
      </c>
      <c r="BZ12" s="68">
        <v>4500</v>
      </c>
      <c r="CA12" s="68">
        <v>1600</v>
      </c>
      <c r="CB12" s="68">
        <v>13000</v>
      </c>
      <c r="CC12" s="68">
        <v>11000</v>
      </c>
      <c r="CD12" s="19"/>
      <c r="CE12" s="20" t="s">
        <v>44</v>
      </c>
      <c r="CF12" s="10">
        <v>150000</v>
      </c>
      <c r="CG12" s="11"/>
      <c r="CH12" s="24" t="s">
        <v>159</v>
      </c>
      <c r="CI12" s="72">
        <v>310000</v>
      </c>
      <c r="CJ12" s="24"/>
      <c r="CK12" s="9">
        <v>2500</v>
      </c>
      <c r="CL12" s="9">
        <v>16000</v>
      </c>
      <c r="CM12" s="9">
        <v>7500</v>
      </c>
      <c r="CN12" s="9">
        <v>10000</v>
      </c>
      <c r="CO12" s="9">
        <v>36000</v>
      </c>
      <c r="CP12" s="9"/>
      <c r="CQ12" s="9"/>
      <c r="CR12" s="11"/>
      <c r="CS12" s="68">
        <v>3000</v>
      </c>
      <c r="CT12" s="68">
        <v>8500</v>
      </c>
      <c r="CU12" s="10"/>
      <c r="CV12" s="68">
        <v>6000</v>
      </c>
      <c r="CW12" s="68">
        <v>10500</v>
      </c>
      <c r="CX12" s="68">
        <v>12500</v>
      </c>
      <c r="CY12" s="19"/>
      <c r="CZ12" s="20" t="s">
        <v>58</v>
      </c>
      <c r="DA12" s="10">
        <v>135200</v>
      </c>
      <c r="DB12" s="11"/>
      <c r="DC12" s="24"/>
      <c r="DD12" s="72"/>
      <c r="DF12" s="44"/>
      <c r="DG12" s="64"/>
      <c r="DH12" s="65"/>
      <c r="DI12" s="66"/>
    </row>
    <row r="13" spans="1:108">
      <c r="A13" s="9">
        <v>2500</v>
      </c>
      <c r="B13" s="9">
        <v>2500</v>
      </c>
      <c r="C13" s="9">
        <v>4000</v>
      </c>
      <c r="D13" s="9">
        <v>7200</v>
      </c>
      <c r="E13" s="9">
        <v>4500</v>
      </c>
      <c r="F13" s="9">
        <v>1500</v>
      </c>
      <c r="G13" s="9">
        <v>39500</v>
      </c>
      <c r="H13" s="9"/>
      <c r="I13" s="11"/>
      <c r="J13" s="68">
        <v>11530</v>
      </c>
      <c r="K13" s="68">
        <v>1500</v>
      </c>
      <c r="L13" s="10"/>
      <c r="M13" s="68">
        <v>4000</v>
      </c>
      <c r="N13" s="68">
        <v>3500</v>
      </c>
      <c r="O13" s="10"/>
      <c r="P13" s="19"/>
      <c r="Q13" s="20" t="s">
        <v>106</v>
      </c>
      <c r="R13" s="10">
        <v>15000</v>
      </c>
      <c r="S13" s="11"/>
      <c r="T13" s="24"/>
      <c r="U13" s="72"/>
      <c r="V13" s="24"/>
      <c r="W13" s="9">
        <v>50000</v>
      </c>
      <c r="X13" s="9">
        <v>1500</v>
      </c>
      <c r="Y13" s="9">
        <v>2000</v>
      </c>
      <c r="Z13" s="9">
        <v>50000</v>
      </c>
      <c r="AA13" s="9">
        <v>4500</v>
      </c>
      <c r="AB13" s="9">
        <v>3000</v>
      </c>
      <c r="AC13" s="9"/>
      <c r="AD13" s="11"/>
      <c r="AE13" s="68">
        <v>24000</v>
      </c>
      <c r="AF13" s="68">
        <v>8000</v>
      </c>
      <c r="AG13" s="68">
        <v>1920</v>
      </c>
      <c r="AH13" s="68">
        <v>2000</v>
      </c>
      <c r="AI13" s="68">
        <v>13860</v>
      </c>
      <c r="AJ13" s="68">
        <v>5000</v>
      </c>
      <c r="AK13" s="68">
        <v>8000</v>
      </c>
      <c r="AL13" s="10"/>
      <c r="AM13" s="19"/>
      <c r="AN13" s="20" t="s">
        <v>31</v>
      </c>
      <c r="AO13" s="10">
        <v>73000</v>
      </c>
      <c r="AP13" s="11"/>
      <c r="AQ13" s="24">
        <v>100000</v>
      </c>
      <c r="AR13" s="72">
        <v>868360</v>
      </c>
      <c r="AT13" s="9">
        <v>3500</v>
      </c>
      <c r="AU13" s="9">
        <v>7000</v>
      </c>
      <c r="AV13" s="9">
        <v>16500</v>
      </c>
      <c r="AW13" s="9">
        <v>1300</v>
      </c>
      <c r="AX13" s="9">
        <v>11500</v>
      </c>
      <c r="AY13" s="9">
        <v>7500</v>
      </c>
      <c r="AZ13" s="9">
        <v>2500</v>
      </c>
      <c r="BA13" s="11"/>
      <c r="BB13" s="68">
        <v>6720</v>
      </c>
      <c r="BC13" s="68">
        <v>3000</v>
      </c>
      <c r="BD13" s="10"/>
      <c r="BE13" s="68">
        <v>5300</v>
      </c>
      <c r="BF13" s="68">
        <v>1000</v>
      </c>
      <c r="BG13" s="68">
        <v>9500</v>
      </c>
      <c r="BH13" s="19"/>
      <c r="BI13" s="20" t="s">
        <v>160</v>
      </c>
      <c r="BJ13" s="10">
        <v>105400</v>
      </c>
      <c r="BK13" s="11"/>
      <c r="BL13" s="24"/>
      <c r="BM13" s="72">
        <v>744828</v>
      </c>
      <c r="BO13" s="9">
        <v>6500</v>
      </c>
      <c r="BP13" s="9">
        <v>9500</v>
      </c>
      <c r="BQ13" s="9">
        <v>33800</v>
      </c>
      <c r="BR13" s="9">
        <v>1000</v>
      </c>
      <c r="BS13" s="9">
        <v>3000</v>
      </c>
      <c r="BT13" s="9">
        <v>11000</v>
      </c>
      <c r="BU13" s="9"/>
      <c r="BV13" s="9"/>
      <c r="BW13" s="11"/>
      <c r="BX13" s="68">
        <v>4500</v>
      </c>
      <c r="BY13" s="68">
        <v>8000</v>
      </c>
      <c r="BZ13" s="68">
        <v>59560</v>
      </c>
      <c r="CA13" s="68">
        <v>7500</v>
      </c>
      <c r="CB13" s="68">
        <v>10000</v>
      </c>
      <c r="CC13" s="68">
        <v>22000</v>
      </c>
      <c r="CD13" s="19"/>
      <c r="CE13" s="20" t="s">
        <v>37</v>
      </c>
      <c r="CF13" s="10">
        <v>78470</v>
      </c>
      <c r="CG13" s="11"/>
      <c r="CH13" s="24">
        <v>200000</v>
      </c>
      <c r="CI13" s="72">
        <v>45000</v>
      </c>
      <c r="CJ13" s="31"/>
      <c r="CK13" s="9">
        <v>20000</v>
      </c>
      <c r="CL13" s="9">
        <v>12000</v>
      </c>
      <c r="CM13" s="9">
        <v>2500</v>
      </c>
      <c r="CN13" s="9">
        <v>9000</v>
      </c>
      <c r="CO13" s="9">
        <v>8000</v>
      </c>
      <c r="CP13" s="9"/>
      <c r="CQ13" s="9"/>
      <c r="CR13" s="11"/>
      <c r="CS13" s="68">
        <v>1200</v>
      </c>
      <c r="CT13" s="10"/>
      <c r="CU13" s="10"/>
      <c r="CV13" s="68">
        <v>35500</v>
      </c>
      <c r="CW13" s="68">
        <v>4500</v>
      </c>
      <c r="CX13" s="68">
        <v>27000</v>
      </c>
      <c r="CY13" s="19"/>
      <c r="CZ13" s="20" t="s">
        <v>60</v>
      </c>
      <c r="DA13" s="10">
        <v>237600</v>
      </c>
      <c r="DB13" s="11"/>
      <c r="DC13" s="24"/>
      <c r="DD13" s="72">
        <v>800000</v>
      </c>
    </row>
    <row r="14" spans="1:108">
      <c r="A14" s="9">
        <v>12000</v>
      </c>
      <c r="B14" s="9">
        <v>5500</v>
      </c>
      <c r="C14" s="9">
        <v>1500</v>
      </c>
      <c r="D14" s="9">
        <v>26600</v>
      </c>
      <c r="E14" s="9">
        <v>1500</v>
      </c>
      <c r="F14" s="9">
        <v>5500</v>
      </c>
      <c r="G14" s="9">
        <v>14000</v>
      </c>
      <c r="H14" s="9"/>
      <c r="I14" s="11"/>
      <c r="J14" s="68">
        <v>8130</v>
      </c>
      <c r="K14" s="68">
        <v>8000</v>
      </c>
      <c r="L14" s="10"/>
      <c r="M14" s="68">
        <v>4000</v>
      </c>
      <c r="N14" s="68">
        <v>9000</v>
      </c>
      <c r="O14" s="10"/>
      <c r="P14" s="19"/>
      <c r="Q14" s="20" t="s">
        <v>139</v>
      </c>
      <c r="R14" s="10">
        <v>64500</v>
      </c>
      <c r="S14" s="11"/>
      <c r="T14" s="24"/>
      <c r="U14" s="72"/>
      <c r="V14" s="24"/>
      <c r="W14" s="9">
        <v>4500</v>
      </c>
      <c r="X14" s="9">
        <v>2400</v>
      </c>
      <c r="Y14" s="9">
        <v>11000</v>
      </c>
      <c r="Z14" s="9">
        <v>27000</v>
      </c>
      <c r="AA14" s="9">
        <v>3000</v>
      </c>
      <c r="AB14" s="9">
        <v>25000</v>
      </c>
      <c r="AC14" s="9"/>
      <c r="AD14" s="11"/>
      <c r="AE14" s="68">
        <v>6240</v>
      </c>
      <c r="AF14" s="68">
        <v>5000</v>
      </c>
      <c r="AG14" s="68">
        <v>6000</v>
      </c>
      <c r="AH14" s="68">
        <v>3840</v>
      </c>
      <c r="AI14" s="68">
        <v>7500</v>
      </c>
      <c r="AJ14" s="68">
        <v>9000</v>
      </c>
      <c r="AK14" s="68">
        <v>1200</v>
      </c>
      <c r="AL14" s="10"/>
      <c r="AM14" s="19"/>
      <c r="AN14" s="20" t="s">
        <v>86</v>
      </c>
      <c r="AO14" s="10">
        <v>100000</v>
      </c>
      <c r="AP14" s="11"/>
      <c r="AQ14" s="24">
        <v>82000</v>
      </c>
      <c r="AR14" s="72">
        <v>361370</v>
      </c>
      <c r="AT14" s="9">
        <v>3200</v>
      </c>
      <c r="AU14" s="9">
        <v>1200</v>
      </c>
      <c r="AV14" s="9">
        <v>22000</v>
      </c>
      <c r="AW14" s="9">
        <v>2700</v>
      </c>
      <c r="AX14" s="9">
        <v>39000</v>
      </c>
      <c r="AY14" s="9">
        <v>74500</v>
      </c>
      <c r="AZ14" s="9">
        <v>8500</v>
      </c>
      <c r="BA14" s="11"/>
      <c r="BB14" s="68">
        <v>19770</v>
      </c>
      <c r="BC14" s="68">
        <v>2500</v>
      </c>
      <c r="BD14" s="10"/>
      <c r="BE14" s="68">
        <v>1500</v>
      </c>
      <c r="BF14" s="68">
        <v>10000</v>
      </c>
      <c r="BG14" s="10"/>
      <c r="BH14" s="19"/>
      <c r="BI14" s="20" t="s">
        <v>38</v>
      </c>
      <c r="BJ14" s="10">
        <v>67000</v>
      </c>
      <c r="BK14" s="11"/>
      <c r="BL14" s="24"/>
      <c r="BM14" s="72">
        <v>300000</v>
      </c>
      <c r="BO14" s="9">
        <v>5500</v>
      </c>
      <c r="BP14" s="9">
        <v>9000</v>
      </c>
      <c r="BQ14" s="9">
        <v>23000</v>
      </c>
      <c r="BR14" s="9">
        <v>3000</v>
      </c>
      <c r="BS14" s="9">
        <v>47000</v>
      </c>
      <c r="BT14" s="9">
        <v>9400</v>
      </c>
      <c r="BU14" s="9"/>
      <c r="BV14" s="9"/>
      <c r="BW14" s="11"/>
      <c r="BX14" s="68">
        <v>7200</v>
      </c>
      <c r="BY14" s="68">
        <v>9000</v>
      </c>
      <c r="BZ14" s="68">
        <v>4500</v>
      </c>
      <c r="CA14" s="68">
        <v>20000</v>
      </c>
      <c r="CB14" s="68">
        <v>1000</v>
      </c>
      <c r="CC14" s="68">
        <v>36000</v>
      </c>
      <c r="CD14" s="19"/>
      <c r="CE14" s="20" t="s">
        <v>11</v>
      </c>
      <c r="CF14" s="10">
        <v>125364</v>
      </c>
      <c r="CG14" s="11"/>
      <c r="CH14" s="24">
        <v>30000</v>
      </c>
      <c r="CI14" s="72">
        <v>23000</v>
      </c>
      <c r="CJ14" s="24"/>
      <c r="CK14" s="9">
        <v>11500</v>
      </c>
      <c r="CL14" s="9">
        <v>10000</v>
      </c>
      <c r="CM14" s="9">
        <v>5500</v>
      </c>
      <c r="CN14" s="9">
        <v>11000</v>
      </c>
      <c r="CO14" s="9">
        <v>800</v>
      </c>
      <c r="CP14" s="9"/>
      <c r="CQ14" s="9"/>
      <c r="CR14" s="11"/>
      <c r="CS14" s="68">
        <v>600</v>
      </c>
      <c r="CT14" s="10"/>
      <c r="CU14" s="10"/>
      <c r="CV14" s="68">
        <v>5000</v>
      </c>
      <c r="CW14" s="68">
        <v>3200</v>
      </c>
      <c r="CX14" s="68">
        <v>25000</v>
      </c>
      <c r="CY14" s="19"/>
      <c r="CZ14" s="20" t="s">
        <v>161</v>
      </c>
      <c r="DA14" s="10">
        <v>15000</v>
      </c>
      <c r="DB14" s="11"/>
      <c r="DC14" s="24">
        <v>1293241</v>
      </c>
      <c r="DD14" s="72">
        <v>300000</v>
      </c>
    </row>
    <row r="15" ht="15.75" customHeight="1" spans="1:108">
      <c r="A15" s="9">
        <v>1200</v>
      </c>
      <c r="B15" s="9">
        <v>1600</v>
      </c>
      <c r="C15" s="9">
        <v>3000</v>
      </c>
      <c r="D15" s="9">
        <v>4500</v>
      </c>
      <c r="E15" s="9">
        <v>8000</v>
      </c>
      <c r="F15" s="9">
        <v>10300</v>
      </c>
      <c r="G15" s="9">
        <v>1000</v>
      </c>
      <c r="H15" s="9"/>
      <c r="I15" s="11"/>
      <c r="J15" s="68">
        <v>1000</v>
      </c>
      <c r="K15" s="68">
        <v>6000</v>
      </c>
      <c r="L15" s="10"/>
      <c r="M15" s="68">
        <v>5000</v>
      </c>
      <c r="N15" s="68">
        <v>20000</v>
      </c>
      <c r="O15" s="10"/>
      <c r="P15" s="19"/>
      <c r="Q15" s="20" t="s">
        <v>7</v>
      </c>
      <c r="R15" s="10">
        <v>55300</v>
      </c>
      <c r="S15" s="11"/>
      <c r="T15" s="32" t="s">
        <v>50</v>
      </c>
      <c r="U15" s="33">
        <v>1899860</v>
      </c>
      <c r="V15" s="24"/>
      <c r="W15" s="9">
        <v>5000</v>
      </c>
      <c r="X15" s="9">
        <v>112500</v>
      </c>
      <c r="Y15" s="9">
        <v>4000</v>
      </c>
      <c r="Z15" s="9">
        <v>1000</v>
      </c>
      <c r="AA15" s="9">
        <v>10000</v>
      </c>
      <c r="AB15" s="9">
        <v>34500</v>
      </c>
      <c r="AC15" s="9"/>
      <c r="AD15" s="11"/>
      <c r="AE15" s="68">
        <v>11090</v>
      </c>
      <c r="AF15" s="68">
        <v>12000</v>
      </c>
      <c r="AG15" s="68">
        <v>24500</v>
      </c>
      <c r="AH15" s="68">
        <v>6500</v>
      </c>
      <c r="AI15" s="68">
        <v>66600</v>
      </c>
      <c r="AJ15" s="68">
        <v>3000</v>
      </c>
      <c r="AK15" s="68">
        <v>4000</v>
      </c>
      <c r="AL15" s="10"/>
      <c r="AM15" s="19"/>
      <c r="AN15" s="20"/>
      <c r="AO15" s="10"/>
      <c r="AP15" s="11"/>
      <c r="AQ15" s="32" t="s">
        <v>50</v>
      </c>
      <c r="AR15" s="33">
        <v>2730000</v>
      </c>
      <c r="AT15" s="9">
        <v>2000</v>
      </c>
      <c r="AU15" s="9">
        <v>21000</v>
      </c>
      <c r="AV15" s="9">
        <v>13500</v>
      </c>
      <c r="AW15" s="9">
        <v>1500</v>
      </c>
      <c r="AX15" s="9">
        <v>800</v>
      </c>
      <c r="AY15" s="9">
        <v>22000</v>
      </c>
      <c r="AZ15" s="9">
        <v>8100</v>
      </c>
      <c r="BA15" s="11"/>
      <c r="BB15" s="68">
        <v>3230</v>
      </c>
      <c r="BC15" s="68">
        <v>5000</v>
      </c>
      <c r="BD15" s="10"/>
      <c r="BE15" s="68">
        <v>6000</v>
      </c>
      <c r="BF15" s="68">
        <v>5000</v>
      </c>
      <c r="BG15" s="10"/>
      <c r="BH15" s="19"/>
      <c r="BI15" s="20" t="s">
        <v>65</v>
      </c>
      <c r="BJ15" s="10">
        <v>42200</v>
      </c>
      <c r="BK15" s="11"/>
      <c r="BL15" s="32" t="s">
        <v>50</v>
      </c>
      <c r="BM15" s="33">
        <v>2962440</v>
      </c>
      <c r="BO15" s="9">
        <v>4000</v>
      </c>
      <c r="BP15" s="9">
        <v>2000</v>
      </c>
      <c r="BQ15" s="9">
        <v>7000</v>
      </c>
      <c r="BR15" s="9">
        <v>5000</v>
      </c>
      <c r="BS15" s="9">
        <v>10000</v>
      </c>
      <c r="BT15" s="9">
        <v>2500</v>
      </c>
      <c r="BU15" s="9"/>
      <c r="BV15" s="9"/>
      <c r="BW15" s="11"/>
      <c r="BX15" s="68">
        <v>2500</v>
      </c>
      <c r="BY15" s="68">
        <v>14000</v>
      </c>
      <c r="BZ15" s="68">
        <v>2000</v>
      </c>
      <c r="CA15" s="68">
        <v>5000</v>
      </c>
      <c r="CB15" s="68">
        <v>24500</v>
      </c>
      <c r="CC15" s="68">
        <v>17000</v>
      </c>
      <c r="CD15" s="19"/>
      <c r="CE15" s="20" t="s">
        <v>145</v>
      </c>
      <c r="CF15" s="10">
        <v>270200</v>
      </c>
      <c r="CG15" s="11"/>
      <c r="CH15" s="32" t="s">
        <v>50</v>
      </c>
      <c r="CI15" s="33">
        <v>2509700</v>
      </c>
      <c r="CJ15" s="24"/>
      <c r="CK15" s="9">
        <v>900</v>
      </c>
      <c r="CL15" s="9">
        <v>3800</v>
      </c>
      <c r="CM15" s="9">
        <v>12000</v>
      </c>
      <c r="CN15" s="9">
        <v>22000</v>
      </c>
      <c r="CO15" s="9">
        <v>8000</v>
      </c>
      <c r="CP15" s="9"/>
      <c r="CQ15" s="9"/>
      <c r="CR15" s="11"/>
      <c r="CS15" s="68">
        <v>1200</v>
      </c>
      <c r="CT15" s="10"/>
      <c r="CU15" s="10"/>
      <c r="CV15" s="68">
        <v>5000</v>
      </c>
      <c r="CW15" s="68">
        <v>25000</v>
      </c>
      <c r="CX15" s="68">
        <v>32000</v>
      </c>
      <c r="CY15" s="19"/>
      <c r="CZ15" s="20" t="s">
        <v>14</v>
      </c>
      <c r="DA15" s="10">
        <v>1293241</v>
      </c>
      <c r="DB15" s="11"/>
      <c r="DC15" s="32" t="s">
        <v>50</v>
      </c>
      <c r="DD15" s="33">
        <v>2880310</v>
      </c>
    </row>
    <row r="16" ht="15" customHeight="1" spans="1:108">
      <c r="A16" s="9">
        <v>500</v>
      </c>
      <c r="B16" s="9">
        <v>3000</v>
      </c>
      <c r="C16" s="9">
        <v>6500</v>
      </c>
      <c r="D16" s="9">
        <v>500</v>
      </c>
      <c r="E16" s="9">
        <v>5800</v>
      </c>
      <c r="F16" s="9">
        <v>75000</v>
      </c>
      <c r="G16" s="9">
        <v>11500</v>
      </c>
      <c r="H16" s="9"/>
      <c r="I16" s="11"/>
      <c r="J16" s="68">
        <v>7970</v>
      </c>
      <c r="K16" s="68">
        <v>7680</v>
      </c>
      <c r="L16" s="10"/>
      <c r="M16" s="68">
        <v>29500</v>
      </c>
      <c r="N16" s="68">
        <v>1500</v>
      </c>
      <c r="O16" s="10"/>
      <c r="P16" s="21"/>
      <c r="Q16" s="20" t="s">
        <v>37</v>
      </c>
      <c r="R16" s="10">
        <v>106630</v>
      </c>
      <c r="S16" s="11"/>
      <c r="T16" s="32" t="s">
        <v>53</v>
      </c>
      <c r="U16" s="33"/>
      <c r="V16" s="24"/>
      <c r="W16" s="9">
        <v>203500</v>
      </c>
      <c r="X16" s="9">
        <v>1200</v>
      </c>
      <c r="Y16" s="9">
        <v>2500</v>
      </c>
      <c r="Z16" s="9">
        <v>40000</v>
      </c>
      <c r="AA16" s="9">
        <v>3000</v>
      </c>
      <c r="AB16" s="9">
        <v>7200</v>
      </c>
      <c r="AC16" s="9"/>
      <c r="AD16" s="11"/>
      <c r="AE16" s="68">
        <v>31030</v>
      </c>
      <c r="AF16" s="68">
        <v>1000</v>
      </c>
      <c r="AG16" s="68">
        <v>8000</v>
      </c>
      <c r="AH16" s="68">
        <v>28820</v>
      </c>
      <c r="AI16" s="68">
        <v>3300</v>
      </c>
      <c r="AJ16" s="68">
        <v>1400</v>
      </c>
      <c r="AK16" s="68">
        <v>12600</v>
      </c>
      <c r="AL16" s="10"/>
      <c r="AM16" s="21"/>
      <c r="AN16" s="20"/>
      <c r="AO16" s="10"/>
      <c r="AP16" s="11"/>
      <c r="AQ16" s="32" t="s">
        <v>53</v>
      </c>
      <c r="AR16" s="33">
        <v>36540</v>
      </c>
      <c r="AT16" s="9">
        <v>3500</v>
      </c>
      <c r="AU16" s="9">
        <v>3600</v>
      </c>
      <c r="AV16" s="9">
        <v>4500</v>
      </c>
      <c r="AW16" s="9">
        <v>4500</v>
      </c>
      <c r="AX16" s="9">
        <v>3200</v>
      </c>
      <c r="AY16" s="9">
        <v>4500</v>
      </c>
      <c r="AZ16" s="9">
        <v>9000</v>
      </c>
      <c r="BA16" s="11"/>
      <c r="BB16" s="68">
        <v>6900</v>
      </c>
      <c r="BC16" s="68">
        <v>4500</v>
      </c>
      <c r="BD16" s="10"/>
      <c r="BE16" s="68">
        <v>10500</v>
      </c>
      <c r="BF16" s="68">
        <v>11000</v>
      </c>
      <c r="BG16" s="10"/>
      <c r="BH16" s="21"/>
      <c r="BI16" s="20" t="s">
        <v>34</v>
      </c>
      <c r="BJ16" s="10">
        <v>88000</v>
      </c>
      <c r="BK16" s="11"/>
      <c r="BL16" s="32" t="s">
        <v>53</v>
      </c>
      <c r="BM16" s="33">
        <v>49500</v>
      </c>
      <c r="BO16" s="9">
        <v>6000</v>
      </c>
      <c r="BP16" s="9">
        <v>8000</v>
      </c>
      <c r="BQ16" s="9">
        <v>2000</v>
      </c>
      <c r="BR16" s="9">
        <v>4000</v>
      </c>
      <c r="BS16" s="9">
        <v>5000</v>
      </c>
      <c r="BT16" s="9">
        <v>3500</v>
      </c>
      <c r="BU16" s="9"/>
      <c r="BV16" s="9"/>
      <c r="BW16" s="11"/>
      <c r="BX16" s="68">
        <v>28800</v>
      </c>
      <c r="BY16" s="68">
        <v>12000</v>
      </c>
      <c r="BZ16" s="68">
        <v>8000</v>
      </c>
      <c r="CA16" s="68">
        <v>7000</v>
      </c>
      <c r="CB16" s="68">
        <v>15800</v>
      </c>
      <c r="CC16" s="68">
        <v>9000</v>
      </c>
      <c r="CD16" s="21"/>
      <c r="CE16" s="20" t="s">
        <v>162</v>
      </c>
      <c r="CF16" s="10">
        <v>502080</v>
      </c>
      <c r="CG16" s="11"/>
      <c r="CH16" s="32" t="s">
        <v>53</v>
      </c>
      <c r="CI16" s="33">
        <v>1434090</v>
      </c>
      <c r="CJ16" s="31"/>
      <c r="CK16" s="9">
        <v>3500</v>
      </c>
      <c r="CL16" s="9">
        <v>10000</v>
      </c>
      <c r="CM16" s="9">
        <v>3000</v>
      </c>
      <c r="CN16" s="9">
        <v>800</v>
      </c>
      <c r="CO16" s="9">
        <v>6000</v>
      </c>
      <c r="CP16" s="9"/>
      <c r="CQ16" s="9"/>
      <c r="CR16" s="11"/>
      <c r="CS16" s="68">
        <v>2310</v>
      </c>
      <c r="CT16" s="10"/>
      <c r="CU16" s="10"/>
      <c r="CV16" s="68">
        <v>2500</v>
      </c>
      <c r="CW16" s="68">
        <v>4000</v>
      </c>
      <c r="CX16" s="68">
        <v>28000</v>
      </c>
      <c r="CY16" s="21"/>
      <c r="CZ16" s="20" t="s">
        <v>14</v>
      </c>
      <c r="DA16" s="10">
        <v>679300</v>
      </c>
      <c r="DB16" s="11"/>
      <c r="DC16" s="32" t="s">
        <v>53</v>
      </c>
      <c r="DD16" s="33">
        <v>1859330</v>
      </c>
    </row>
    <row r="17" ht="15.75" customHeight="1" spans="1:108">
      <c r="A17" s="9">
        <v>13300</v>
      </c>
      <c r="B17" s="9">
        <v>2400</v>
      </c>
      <c r="C17" s="9">
        <v>5000</v>
      </c>
      <c r="D17" s="9">
        <v>300</v>
      </c>
      <c r="E17" s="9">
        <v>1500</v>
      </c>
      <c r="F17" s="9">
        <v>63000</v>
      </c>
      <c r="G17" s="9">
        <v>4900</v>
      </c>
      <c r="H17" s="9"/>
      <c r="I17" s="11"/>
      <c r="J17" s="68">
        <v>2210</v>
      </c>
      <c r="K17" s="68">
        <v>16330</v>
      </c>
      <c r="L17" s="10"/>
      <c r="M17" s="68">
        <v>26000</v>
      </c>
      <c r="N17" s="68">
        <v>35500</v>
      </c>
      <c r="O17" s="10"/>
      <c r="P17" s="21"/>
      <c r="Q17" s="20" t="s">
        <v>116</v>
      </c>
      <c r="R17" s="10">
        <v>619710</v>
      </c>
      <c r="S17" s="11"/>
      <c r="T17" s="24"/>
      <c r="U17" s="72">
        <v>177300</v>
      </c>
      <c r="V17" s="24"/>
      <c r="W17" s="9">
        <v>1500</v>
      </c>
      <c r="X17" s="9">
        <v>1500</v>
      </c>
      <c r="Y17" s="9">
        <v>2500</v>
      </c>
      <c r="Z17" s="9">
        <v>2500</v>
      </c>
      <c r="AA17" s="9">
        <v>4500</v>
      </c>
      <c r="AB17" s="9">
        <v>5000</v>
      </c>
      <c r="AC17" s="9"/>
      <c r="AD17" s="11"/>
      <c r="AE17" s="68">
        <v>18000</v>
      </c>
      <c r="AF17" s="68">
        <v>6240</v>
      </c>
      <c r="AG17" s="68">
        <v>1400</v>
      </c>
      <c r="AH17" s="68">
        <v>24000</v>
      </c>
      <c r="AI17" s="68">
        <v>920</v>
      </c>
      <c r="AJ17" s="68">
        <v>14400</v>
      </c>
      <c r="AK17" s="68">
        <v>2500</v>
      </c>
      <c r="AL17" s="10"/>
      <c r="AM17" s="21"/>
      <c r="AN17" s="20"/>
      <c r="AO17" s="10"/>
      <c r="AP17" s="11"/>
      <c r="AQ17" s="24"/>
      <c r="AR17" s="72">
        <v>383200</v>
      </c>
      <c r="AT17" s="9">
        <v>1200</v>
      </c>
      <c r="AU17" s="9">
        <v>6000</v>
      </c>
      <c r="AV17" s="9">
        <v>2500</v>
      </c>
      <c r="AW17" s="9">
        <v>13500</v>
      </c>
      <c r="AX17" s="9">
        <v>20600</v>
      </c>
      <c r="AY17" s="9">
        <v>7000</v>
      </c>
      <c r="AZ17" s="9"/>
      <c r="BA17" s="11"/>
      <c r="BB17" s="68">
        <v>16330</v>
      </c>
      <c r="BC17" s="68">
        <v>34550</v>
      </c>
      <c r="BD17" s="10"/>
      <c r="BE17" s="68">
        <v>4000</v>
      </c>
      <c r="BF17" s="68">
        <v>6000</v>
      </c>
      <c r="BG17" s="10"/>
      <c r="BH17" s="21"/>
      <c r="BI17" s="20"/>
      <c r="BJ17" s="10"/>
      <c r="BK17" s="11"/>
      <c r="BL17" s="24"/>
      <c r="BM17" s="72">
        <v>48460</v>
      </c>
      <c r="BO17" s="9">
        <v>2500</v>
      </c>
      <c r="BP17" s="9">
        <v>40000</v>
      </c>
      <c r="BQ17" s="9">
        <v>1600</v>
      </c>
      <c r="BR17" s="9">
        <v>25000</v>
      </c>
      <c r="BS17" s="9">
        <v>20000</v>
      </c>
      <c r="BT17" s="9">
        <v>16500</v>
      </c>
      <c r="BU17" s="9"/>
      <c r="BV17" s="9"/>
      <c r="BW17" s="11"/>
      <c r="BX17" s="68">
        <v>2400</v>
      </c>
      <c r="BY17" s="68">
        <v>30262</v>
      </c>
      <c r="BZ17" s="68">
        <v>66000</v>
      </c>
      <c r="CA17" s="68">
        <v>6500</v>
      </c>
      <c r="CB17" s="68">
        <v>2000</v>
      </c>
      <c r="CC17" s="68">
        <v>10000</v>
      </c>
      <c r="CD17" s="21"/>
      <c r="CE17" s="20" t="s">
        <v>163</v>
      </c>
      <c r="CF17" s="10">
        <v>25000</v>
      </c>
      <c r="CG17" s="11"/>
      <c r="CH17" s="24"/>
      <c r="CI17" s="72">
        <v>42400</v>
      </c>
      <c r="CJ17" s="31"/>
      <c r="CK17" s="9">
        <v>1000</v>
      </c>
      <c r="CL17" s="9">
        <v>6500</v>
      </c>
      <c r="CM17" s="9">
        <v>2500</v>
      </c>
      <c r="CN17" s="9">
        <v>14000</v>
      </c>
      <c r="CO17" s="9">
        <v>60000</v>
      </c>
      <c r="CP17" s="9"/>
      <c r="CQ17" s="9"/>
      <c r="CR17" s="11"/>
      <c r="CS17" s="68">
        <v>49470</v>
      </c>
      <c r="CT17" s="10"/>
      <c r="CU17" s="10"/>
      <c r="CV17" s="68">
        <v>13000</v>
      </c>
      <c r="CW17" s="68">
        <v>35600</v>
      </c>
      <c r="CX17" s="68">
        <v>7500</v>
      </c>
      <c r="CY17" s="21"/>
      <c r="CZ17" s="20" t="s">
        <v>7</v>
      </c>
      <c r="DA17" s="10">
        <v>55300</v>
      </c>
      <c r="DB17" s="11"/>
      <c r="DC17" s="24"/>
      <c r="DD17" s="72">
        <v>42400</v>
      </c>
    </row>
    <row r="18" ht="15.75" customHeight="1" spans="1:108">
      <c r="A18" s="9">
        <v>2800</v>
      </c>
      <c r="B18" s="9">
        <v>800</v>
      </c>
      <c r="C18" s="9">
        <v>20000</v>
      </c>
      <c r="D18" s="9">
        <v>6000</v>
      </c>
      <c r="E18" s="9">
        <v>13500</v>
      </c>
      <c r="F18" s="9">
        <v>11500</v>
      </c>
      <c r="G18" s="9">
        <v>22000</v>
      </c>
      <c r="H18" s="9"/>
      <c r="I18" s="11"/>
      <c r="J18" s="68">
        <v>62500</v>
      </c>
      <c r="K18" s="68">
        <v>24000</v>
      </c>
      <c r="L18" s="10"/>
      <c r="M18" s="68">
        <v>2000</v>
      </c>
      <c r="N18" s="68">
        <v>4500</v>
      </c>
      <c r="O18" s="10"/>
      <c r="P18" s="21"/>
      <c r="Q18" s="20" t="s">
        <v>34</v>
      </c>
      <c r="R18" s="10">
        <v>104000</v>
      </c>
      <c r="S18" s="11"/>
      <c r="U18" s="72">
        <v>260370</v>
      </c>
      <c r="V18" s="24"/>
      <c r="W18" s="9">
        <v>10000</v>
      </c>
      <c r="X18" s="9">
        <v>2000</v>
      </c>
      <c r="Y18" s="9">
        <v>3000</v>
      </c>
      <c r="Z18" s="9">
        <v>39000</v>
      </c>
      <c r="AA18" s="9">
        <v>4000</v>
      </c>
      <c r="AB18" s="9">
        <v>1000</v>
      </c>
      <c r="AC18" s="9"/>
      <c r="AD18" s="11"/>
      <c r="AE18" s="68">
        <v>12970</v>
      </c>
      <c r="AF18" s="68">
        <v>28500</v>
      </c>
      <c r="AG18" s="68">
        <v>2500</v>
      </c>
      <c r="AH18" s="68">
        <v>8460</v>
      </c>
      <c r="AI18" s="68">
        <v>11530</v>
      </c>
      <c r="AJ18" s="68">
        <v>9500</v>
      </c>
      <c r="AK18" s="68">
        <v>6000</v>
      </c>
      <c r="AL18" s="10"/>
      <c r="AM18" s="21"/>
      <c r="AN18" s="20"/>
      <c r="AO18" s="10"/>
      <c r="AP18" s="11"/>
      <c r="AT18" s="9">
        <v>6500</v>
      </c>
      <c r="AU18" s="9">
        <v>800</v>
      </c>
      <c r="AV18" s="9">
        <v>5000</v>
      </c>
      <c r="AW18" s="9">
        <v>13500</v>
      </c>
      <c r="AX18" s="9">
        <v>2000</v>
      </c>
      <c r="AY18" s="9">
        <v>7000</v>
      </c>
      <c r="AZ18" s="9"/>
      <c r="BA18" s="11"/>
      <c r="BB18" s="68">
        <v>43230</v>
      </c>
      <c r="BC18" s="68">
        <v>3500</v>
      </c>
      <c r="BD18" s="10"/>
      <c r="BE18" s="68">
        <v>10000</v>
      </c>
      <c r="BF18" s="68">
        <v>6000</v>
      </c>
      <c r="BG18" s="10"/>
      <c r="BH18" s="21"/>
      <c r="BI18" s="20"/>
      <c r="BJ18" s="10"/>
      <c r="BK18" s="11"/>
      <c r="BM18" s="72">
        <v>40600</v>
      </c>
      <c r="BO18" s="9">
        <v>4500</v>
      </c>
      <c r="BP18" s="9">
        <v>7000</v>
      </c>
      <c r="BQ18" s="9">
        <v>33000</v>
      </c>
      <c r="BR18" s="9">
        <v>3000</v>
      </c>
      <c r="BS18" s="9">
        <v>29000</v>
      </c>
      <c r="BT18" s="9">
        <v>5100</v>
      </c>
      <c r="BU18" s="9"/>
      <c r="BV18" s="9"/>
      <c r="BW18" s="11"/>
      <c r="BX18" s="68">
        <v>5500</v>
      </c>
      <c r="BY18" s="68">
        <v>6000</v>
      </c>
      <c r="BZ18" s="68">
        <v>18500</v>
      </c>
      <c r="CA18" s="68">
        <v>500</v>
      </c>
      <c r="CB18" s="68">
        <v>6800</v>
      </c>
      <c r="CC18" s="68">
        <v>7100</v>
      </c>
      <c r="CD18" s="21"/>
      <c r="CE18" s="20"/>
      <c r="CF18" s="10"/>
      <c r="CG18" s="11"/>
      <c r="CI18" s="67">
        <v>55780</v>
      </c>
      <c r="CJ18" s="24"/>
      <c r="CK18" s="9">
        <v>1000</v>
      </c>
      <c r="CL18" s="9">
        <v>23000</v>
      </c>
      <c r="CM18" s="9">
        <v>12000</v>
      </c>
      <c r="CN18" s="9">
        <v>2300</v>
      </c>
      <c r="CO18" s="9">
        <v>24000</v>
      </c>
      <c r="CP18" s="9"/>
      <c r="CQ18" s="9"/>
      <c r="CR18" s="11"/>
      <c r="CS18" s="68">
        <v>6000</v>
      </c>
      <c r="CT18" s="10"/>
      <c r="CU18" s="10"/>
      <c r="CV18" s="68">
        <v>16000</v>
      </c>
      <c r="CW18" s="68">
        <v>9500</v>
      </c>
      <c r="CX18" s="68">
        <v>1500</v>
      </c>
      <c r="CY18" s="21"/>
      <c r="CZ18" s="20"/>
      <c r="DA18" s="10"/>
      <c r="DB18" s="11"/>
      <c r="DD18" s="72">
        <v>157460</v>
      </c>
    </row>
    <row r="19" ht="15.75" customHeight="1" spans="1:108">
      <c r="A19" s="9">
        <v>9000</v>
      </c>
      <c r="B19" s="9">
        <v>5500</v>
      </c>
      <c r="C19" s="9">
        <v>27000</v>
      </c>
      <c r="D19" s="9">
        <v>14400</v>
      </c>
      <c r="E19" s="9">
        <v>10300</v>
      </c>
      <c r="F19" s="9">
        <v>4000</v>
      </c>
      <c r="G19" s="9">
        <v>4000</v>
      </c>
      <c r="H19" s="9"/>
      <c r="I19" s="11"/>
      <c r="J19" s="68">
        <v>31500</v>
      </c>
      <c r="K19" s="68">
        <v>10370</v>
      </c>
      <c r="L19" s="10"/>
      <c r="M19" s="68">
        <v>30000</v>
      </c>
      <c r="N19" s="68">
        <v>18100</v>
      </c>
      <c r="O19" s="10"/>
      <c r="P19" s="21"/>
      <c r="Q19" s="20"/>
      <c r="R19" s="10"/>
      <c r="S19" s="11"/>
      <c r="T19" s="24"/>
      <c r="U19" s="72">
        <v>106630</v>
      </c>
      <c r="V19" s="24"/>
      <c r="W19" s="9">
        <v>2800</v>
      </c>
      <c r="X19" s="9">
        <v>300</v>
      </c>
      <c r="Y19" s="9">
        <v>1500</v>
      </c>
      <c r="Z19" s="9">
        <v>15000</v>
      </c>
      <c r="AA19" s="9">
        <v>3000</v>
      </c>
      <c r="AB19" s="9">
        <v>25000</v>
      </c>
      <c r="AC19" s="9"/>
      <c r="AD19" s="11"/>
      <c r="AE19" s="68">
        <v>8650</v>
      </c>
      <c r="AF19" s="68">
        <v>1500</v>
      </c>
      <c r="AG19" s="68">
        <v>8000</v>
      </c>
      <c r="AH19" s="68">
        <v>9000</v>
      </c>
      <c r="AI19" s="68">
        <v>8000</v>
      </c>
      <c r="AJ19" s="68">
        <v>9200</v>
      </c>
      <c r="AK19" s="68">
        <v>12500</v>
      </c>
      <c r="AL19" s="10"/>
      <c r="AM19" s="21"/>
      <c r="AN19" s="20"/>
      <c r="AO19" s="10"/>
      <c r="AP19" s="11"/>
      <c r="AQ19" s="24"/>
      <c r="AR19" s="72"/>
      <c r="AT19" s="9">
        <v>2400</v>
      </c>
      <c r="AU19" s="9">
        <v>4000</v>
      </c>
      <c r="AV19" s="9">
        <v>2500</v>
      </c>
      <c r="AW19" s="9">
        <v>20000</v>
      </c>
      <c r="AX19" s="9">
        <v>8500</v>
      </c>
      <c r="AY19" s="9">
        <v>13400</v>
      </c>
      <c r="AZ19" s="9"/>
      <c r="BA19" s="11"/>
      <c r="BB19" s="68">
        <v>12490</v>
      </c>
      <c r="BC19" s="68">
        <v>3840</v>
      </c>
      <c r="BD19" s="10"/>
      <c r="BE19" s="68">
        <v>1500</v>
      </c>
      <c r="BF19" s="68">
        <v>13500</v>
      </c>
      <c r="BG19" s="10"/>
      <c r="BH19" s="21"/>
      <c r="BI19" s="20"/>
      <c r="BJ19" s="10"/>
      <c r="BK19" s="11"/>
      <c r="BL19" s="24"/>
      <c r="BM19" s="72"/>
      <c r="BO19" s="9">
        <v>7500</v>
      </c>
      <c r="BP19" s="9">
        <v>1000</v>
      </c>
      <c r="BQ19" s="9">
        <v>800</v>
      </c>
      <c r="BR19" s="9">
        <v>5000</v>
      </c>
      <c r="BS19" s="9">
        <v>10000</v>
      </c>
      <c r="BT19" s="9">
        <v>85000</v>
      </c>
      <c r="BU19" s="9"/>
      <c r="BV19" s="9"/>
      <c r="BW19" s="11"/>
      <c r="BX19" s="68">
        <v>6000</v>
      </c>
      <c r="BY19" s="68">
        <v>2300</v>
      </c>
      <c r="BZ19" s="68">
        <v>3200</v>
      </c>
      <c r="CA19" s="68">
        <v>9800</v>
      </c>
      <c r="CB19" s="68">
        <v>1500</v>
      </c>
      <c r="CC19" s="68">
        <v>30000</v>
      </c>
      <c r="CD19" s="21"/>
      <c r="CE19" s="20"/>
      <c r="CF19" s="10"/>
      <c r="CG19" s="11"/>
      <c r="CH19" s="24"/>
      <c r="CI19" s="72">
        <v>78470</v>
      </c>
      <c r="CJ19" s="31"/>
      <c r="CK19" s="9">
        <v>400</v>
      </c>
      <c r="CL19" s="9">
        <v>29500</v>
      </c>
      <c r="CM19" s="9">
        <v>12000</v>
      </c>
      <c r="CN19" s="9">
        <v>34500</v>
      </c>
      <c r="CO19" s="9">
        <v>7000</v>
      </c>
      <c r="CP19" s="9"/>
      <c r="CQ19" s="9"/>
      <c r="CR19" s="11"/>
      <c r="CS19" s="68">
        <v>21520</v>
      </c>
      <c r="CT19" s="10"/>
      <c r="CU19" s="10"/>
      <c r="CV19" s="68">
        <v>3500</v>
      </c>
      <c r="CW19" s="68">
        <v>2000</v>
      </c>
      <c r="CX19" s="68">
        <v>26000</v>
      </c>
      <c r="CY19" s="21"/>
      <c r="CZ19" s="20"/>
      <c r="DA19" s="10"/>
      <c r="DB19" s="11"/>
      <c r="DC19" s="24"/>
      <c r="DD19" s="72">
        <v>164000</v>
      </c>
    </row>
    <row r="20" ht="15" customHeight="1" spans="1:108">
      <c r="A20" s="9">
        <v>3000</v>
      </c>
      <c r="B20" s="9">
        <v>3000</v>
      </c>
      <c r="C20" s="9">
        <v>11000</v>
      </c>
      <c r="D20" s="9">
        <v>15000</v>
      </c>
      <c r="E20" s="9">
        <v>5000</v>
      </c>
      <c r="F20" s="9">
        <v>16500</v>
      </c>
      <c r="G20" s="9">
        <v>110000</v>
      </c>
      <c r="H20" s="9"/>
      <c r="I20" s="11"/>
      <c r="J20" s="68">
        <v>21330</v>
      </c>
      <c r="K20" s="68">
        <v>2300</v>
      </c>
      <c r="L20" s="10"/>
      <c r="M20" s="68">
        <v>26000</v>
      </c>
      <c r="N20" s="68">
        <v>1200</v>
      </c>
      <c r="O20" s="10"/>
      <c r="P20" s="21"/>
      <c r="Q20" s="20"/>
      <c r="R20" s="10"/>
      <c r="S20" s="11"/>
      <c r="T20" s="24"/>
      <c r="U20" s="72">
        <v>619710</v>
      </c>
      <c r="V20" s="24"/>
      <c r="W20" s="9">
        <v>500</v>
      </c>
      <c r="X20" s="9">
        <v>2000</v>
      </c>
      <c r="Y20" s="9">
        <v>13500</v>
      </c>
      <c r="Z20" s="9">
        <v>9000</v>
      </c>
      <c r="AA20" s="9">
        <v>11000</v>
      </c>
      <c r="AB20" s="9">
        <v>6500</v>
      </c>
      <c r="AC20" s="9"/>
      <c r="AD20" s="11"/>
      <c r="AE20" s="68">
        <v>10000</v>
      </c>
      <c r="AF20" s="68">
        <v>28500</v>
      </c>
      <c r="AG20" s="68">
        <v>6000</v>
      </c>
      <c r="AH20" s="68">
        <v>2000</v>
      </c>
      <c r="AI20" s="68">
        <v>5000</v>
      </c>
      <c r="AJ20" s="68">
        <v>5400</v>
      </c>
      <c r="AK20" s="68">
        <v>200</v>
      </c>
      <c r="AL20" s="10"/>
      <c r="AM20" s="21"/>
      <c r="AN20" s="20"/>
      <c r="AO20" s="10"/>
      <c r="AP20" s="11"/>
      <c r="AQ20" s="24"/>
      <c r="AR20" s="72"/>
      <c r="AT20" s="9">
        <v>3500</v>
      </c>
      <c r="AU20" s="9">
        <v>31000</v>
      </c>
      <c r="AV20" s="9">
        <v>2000</v>
      </c>
      <c r="AW20" s="9">
        <v>4000</v>
      </c>
      <c r="AX20" s="9">
        <v>2000</v>
      </c>
      <c r="AY20" s="9">
        <v>2000</v>
      </c>
      <c r="AZ20" s="9"/>
      <c r="BA20" s="11"/>
      <c r="BB20" s="68">
        <v>24980</v>
      </c>
      <c r="BC20" s="68">
        <v>1500</v>
      </c>
      <c r="BD20" s="10"/>
      <c r="BE20" s="68">
        <v>1500</v>
      </c>
      <c r="BF20" s="68">
        <v>15000</v>
      </c>
      <c r="BG20" s="10"/>
      <c r="BH20" s="21"/>
      <c r="BI20" s="20"/>
      <c r="BJ20" s="10"/>
      <c r="BK20" s="11"/>
      <c r="BL20" s="24"/>
      <c r="BM20" s="72"/>
      <c r="BO20" s="9">
        <v>4500</v>
      </c>
      <c r="BP20" s="9">
        <v>17000</v>
      </c>
      <c r="BQ20" s="9">
        <v>2100</v>
      </c>
      <c r="BR20" s="9">
        <v>1500</v>
      </c>
      <c r="BS20" s="9">
        <v>19000</v>
      </c>
      <c r="BT20" s="9">
        <v>12000</v>
      </c>
      <c r="BU20" s="9"/>
      <c r="BV20" s="9"/>
      <c r="BW20" s="11"/>
      <c r="BX20" s="68">
        <v>14530</v>
      </c>
      <c r="BY20" s="68">
        <v>2500</v>
      </c>
      <c r="BZ20" s="68">
        <v>10800</v>
      </c>
      <c r="CA20" s="68">
        <v>11000</v>
      </c>
      <c r="CB20" s="68">
        <v>24000</v>
      </c>
      <c r="CC20" s="68">
        <v>7500</v>
      </c>
      <c r="CD20" s="21"/>
      <c r="CE20" s="20"/>
      <c r="CF20" s="10"/>
      <c r="CG20" s="11"/>
      <c r="CH20" s="24"/>
      <c r="CI20" s="72">
        <v>125364</v>
      </c>
      <c r="CJ20" s="24"/>
      <c r="CK20" s="9">
        <v>1500</v>
      </c>
      <c r="CL20" s="9">
        <v>11600</v>
      </c>
      <c r="CM20" s="9">
        <v>20500</v>
      </c>
      <c r="CN20" s="9">
        <v>4500</v>
      </c>
      <c r="CO20" s="9">
        <v>4500</v>
      </c>
      <c r="CP20" s="9"/>
      <c r="CQ20" s="9"/>
      <c r="CR20" s="11"/>
      <c r="CS20" s="68">
        <v>7680</v>
      </c>
      <c r="CT20" s="10"/>
      <c r="CU20" s="10"/>
      <c r="CV20" s="68">
        <v>8000</v>
      </c>
      <c r="CW20" s="68">
        <v>1500</v>
      </c>
      <c r="CX20" s="68">
        <v>6500</v>
      </c>
      <c r="CY20" s="21"/>
      <c r="CZ20" s="20"/>
      <c r="DA20" s="10"/>
      <c r="DB20" s="11"/>
      <c r="DC20" s="24"/>
      <c r="DD20" s="72"/>
    </row>
    <row r="21" ht="15" customHeight="1" spans="1:108">
      <c r="A21" s="9">
        <v>3500</v>
      </c>
      <c r="B21" s="9">
        <v>8000</v>
      </c>
      <c r="C21" s="9">
        <v>1500</v>
      </c>
      <c r="D21" s="9">
        <v>18000</v>
      </c>
      <c r="E21" s="9">
        <v>2000</v>
      </c>
      <c r="F21" s="9">
        <v>4500</v>
      </c>
      <c r="G21" s="9">
        <v>4500</v>
      </c>
      <c r="H21" s="9"/>
      <c r="I21" s="11"/>
      <c r="J21" s="68">
        <v>2880</v>
      </c>
      <c r="K21" s="68">
        <v>25000</v>
      </c>
      <c r="L21" s="10"/>
      <c r="M21" s="68">
        <v>4500</v>
      </c>
      <c r="N21" s="68">
        <v>1500</v>
      </c>
      <c r="O21" s="10"/>
      <c r="P21" s="21"/>
      <c r="Q21" s="20"/>
      <c r="R21" s="10"/>
      <c r="S21" s="11"/>
      <c r="T21" s="24"/>
      <c r="U21" s="72">
        <v>104000</v>
      </c>
      <c r="V21" s="24"/>
      <c r="W21" s="9">
        <v>1500</v>
      </c>
      <c r="X21" s="9">
        <v>5500</v>
      </c>
      <c r="Y21" s="9">
        <v>41500</v>
      </c>
      <c r="Z21" s="9">
        <v>65000</v>
      </c>
      <c r="AA21" s="9">
        <v>4500</v>
      </c>
      <c r="AB21" s="9">
        <v>6500</v>
      </c>
      <c r="AC21" s="9"/>
      <c r="AD21" s="11"/>
      <c r="AE21" s="68">
        <v>4800</v>
      </c>
      <c r="AF21" s="68">
        <v>3000</v>
      </c>
      <c r="AG21" s="68">
        <v>5000</v>
      </c>
      <c r="AH21" s="68">
        <v>5000</v>
      </c>
      <c r="AI21" s="68">
        <v>1000</v>
      </c>
      <c r="AJ21" s="68">
        <v>500</v>
      </c>
      <c r="AK21" s="68">
        <v>8500</v>
      </c>
      <c r="AL21" s="10"/>
      <c r="AM21" s="21"/>
      <c r="AN21" s="20"/>
      <c r="AO21" s="10"/>
      <c r="AP21" s="11"/>
      <c r="AQ21" s="24"/>
      <c r="AR21" s="72"/>
      <c r="AT21" s="9">
        <v>15000</v>
      </c>
      <c r="AU21" s="9">
        <v>12000</v>
      </c>
      <c r="AV21" s="9">
        <v>1000</v>
      </c>
      <c r="AW21" s="9">
        <v>15000</v>
      </c>
      <c r="AX21" s="9">
        <v>5000</v>
      </c>
      <c r="AY21" s="9">
        <v>2000</v>
      </c>
      <c r="AZ21" s="9"/>
      <c r="BA21" s="11"/>
      <c r="BB21" s="68">
        <v>1600</v>
      </c>
      <c r="BC21" s="68">
        <v>1000</v>
      </c>
      <c r="BD21" s="10"/>
      <c r="BE21" s="68">
        <v>1500</v>
      </c>
      <c r="BF21" s="68">
        <v>3000</v>
      </c>
      <c r="BG21" s="10"/>
      <c r="BH21" s="21"/>
      <c r="BI21" s="20"/>
      <c r="BJ21" s="10"/>
      <c r="BK21" s="11"/>
      <c r="BL21" s="24"/>
      <c r="BM21" s="72"/>
      <c r="BO21" s="9">
        <v>4000</v>
      </c>
      <c r="BP21" s="9">
        <v>5000</v>
      </c>
      <c r="BQ21" s="9">
        <v>600</v>
      </c>
      <c r="BR21" s="9">
        <v>2000</v>
      </c>
      <c r="BS21" s="9">
        <v>3000</v>
      </c>
      <c r="BT21" s="9">
        <v>6500</v>
      </c>
      <c r="BU21" s="9"/>
      <c r="BV21" s="9"/>
      <c r="BW21" s="11"/>
      <c r="BX21" s="68">
        <v>50820</v>
      </c>
      <c r="BY21" s="68">
        <v>41120</v>
      </c>
      <c r="BZ21" s="68">
        <v>3600</v>
      </c>
      <c r="CA21" s="68">
        <v>53500</v>
      </c>
      <c r="CB21" s="68">
        <v>30000</v>
      </c>
      <c r="CC21" s="68">
        <v>6000</v>
      </c>
      <c r="CD21" s="21"/>
      <c r="CE21" s="20"/>
      <c r="CF21" s="10"/>
      <c r="CG21" s="11"/>
      <c r="CH21" s="24"/>
      <c r="CI21" s="72">
        <v>500000</v>
      </c>
      <c r="CJ21" s="24"/>
      <c r="CK21" s="9">
        <v>2500</v>
      </c>
      <c r="CL21" s="9">
        <v>4300</v>
      </c>
      <c r="CM21" s="9">
        <v>2500</v>
      </c>
      <c r="CN21" s="9">
        <v>2500</v>
      </c>
      <c r="CO21" s="9">
        <v>4500</v>
      </c>
      <c r="CP21" s="9"/>
      <c r="CQ21" s="9"/>
      <c r="CR21" s="11"/>
      <c r="CS21" s="68">
        <v>16000</v>
      </c>
      <c r="CT21" s="10"/>
      <c r="CU21" s="10"/>
      <c r="CV21" s="68">
        <v>8500</v>
      </c>
      <c r="CW21" s="68">
        <v>14000</v>
      </c>
      <c r="CX21" s="68">
        <v>7000</v>
      </c>
      <c r="CY21" s="21"/>
      <c r="CZ21" s="20"/>
      <c r="DA21" s="10"/>
      <c r="DB21" s="11"/>
      <c r="DC21" s="24"/>
      <c r="DD21" s="72"/>
    </row>
    <row r="22" ht="15.75" customHeight="1" spans="1:108">
      <c r="A22" s="9">
        <v>11600</v>
      </c>
      <c r="B22" s="9">
        <v>1000</v>
      </c>
      <c r="C22" s="9">
        <v>5000</v>
      </c>
      <c r="D22" s="9">
        <v>4000</v>
      </c>
      <c r="E22" s="9">
        <v>9500</v>
      </c>
      <c r="F22" s="9">
        <v>6300</v>
      </c>
      <c r="G22" s="9">
        <v>9300</v>
      </c>
      <c r="H22" s="9"/>
      <c r="I22" s="11"/>
      <c r="J22" s="68">
        <v>16330</v>
      </c>
      <c r="K22" s="68">
        <v>4000</v>
      </c>
      <c r="L22" s="10"/>
      <c r="M22" s="68">
        <v>20000</v>
      </c>
      <c r="N22" s="68">
        <v>12500</v>
      </c>
      <c r="O22" s="10"/>
      <c r="P22" s="21"/>
      <c r="Q22" s="20"/>
      <c r="R22" s="10"/>
      <c r="S22" s="11"/>
      <c r="T22" s="24"/>
      <c r="U22" s="72"/>
      <c r="V22" s="24"/>
      <c r="W22" s="9">
        <v>1500</v>
      </c>
      <c r="X22" s="9">
        <v>19000</v>
      </c>
      <c r="Y22" s="9">
        <v>3000</v>
      </c>
      <c r="Z22" s="9">
        <v>3800</v>
      </c>
      <c r="AA22" s="9">
        <v>2000</v>
      </c>
      <c r="AB22" s="9">
        <v>9000</v>
      </c>
      <c r="AC22" s="9"/>
      <c r="AD22" s="11"/>
      <c r="AE22" s="68">
        <v>4950</v>
      </c>
      <c r="AF22" s="68">
        <v>56000</v>
      </c>
      <c r="AG22" s="68">
        <v>11530</v>
      </c>
      <c r="AH22" s="68">
        <v>7320</v>
      </c>
      <c r="AI22" s="68">
        <v>28000</v>
      </c>
      <c r="AJ22" s="68">
        <v>12500</v>
      </c>
      <c r="AK22" s="68">
        <v>19000</v>
      </c>
      <c r="AL22" s="10"/>
      <c r="AM22" s="21"/>
      <c r="AN22" s="20"/>
      <c r="AO22" s="10"/>
      <c r="AP22" s="11"/>
      <c r="AQ22" s="24"/>
      <c r="AR22" s="72"/>
      <c r="AT22" s="9">
        <v>7500</v>
      </c>
      <c r="AU22" s="9">
        <v>6000</v>
      </c>
      <c r="AV22" s="9">
        <v>2000</v>
      </c>
      <c r="AW22" s="9">
        <v>1500</v>
      </c>
      <c r="AX22" s="9">
        <v>1000</v>
      </c>
      <c r="AY22" s="9">
        <v>12000</v>
      </c>
      <c r="AZ22" s="9"/>
      <c r="BA22" s="11"/>
      <c r="BB22" s="68">
        <v>4320</v>
      </c>
      <c r="BC22" s="68">
        <v>3650</v>
      </c>
      <c r="BD22" s="10"/>
      <c r="BE22" s="68">
        <v>2400</v>
      </c>
      <c r="BF22" s="68">
        <v>3000</v>
      </c>
      <c r="BG22" s="10"/>
      <c r="BH22" s="21"/>
      <c r="BI22" s="20"/>
      <c r="BJ22" s="10"/>
      <c r="BK22" s="11"/>
      <c r="BL22" s="24"/>
      <c r="BM22" s="72"/>
      <c r="BO22" s="9">
        <v>48000</v>
      </c>
      <c r="BP22" s="9">
        <v>500</v>
      </c>
      <c r="BQ22" s="9">
        <v>14000</v>
      </c>
      <c r="BR22" s="9">
        <v>5400</v>
      </c>
      <c r="BS22" s="9">
        <v>2500</v>
      </c>
      <c r="BT22" s="9">
        <v>7500</v>
      </c>
      <c r="BU22" s="9"/>
      <c r="BV22" s="9"/>
      <c r="BW22" s="11"/>
      <c r="BX22" s="68">
        <v>3230</v>
      </c>
      <c r="BY22" s="68">
        <v>16810</v>
      </c>
      <c r="BZ22" s="68">
        <v>10000</v>
      </c>
      <c r="CA22" s="68">
        <v>30000</v>
      </c>
      <c r="CB22" s="68">
        <v>10000</v>
      </c>
      <c r="CC22" s="68">
        <v>6600</v>
      </c>
      <c r="CD22" s="21"/>
      <c r="CE22" s="20"/>
      <c r="CF22" s="10"/>
      <c r="CG22" s="11"/>
      <c r="CH22" s="24"/>
      <c r="CI22" s="72"/>
      <c r="CJ22" s="24"/>
      <c r="CK22" s="9">
        <v>3000</v>
      </c>
      <c r="CL22" s="9">
        <v>7800</v>
      </c>
      <c r="CM22" s="9">
        <v>2000</v>
      </c>
      <c r="CN22" s="9">
        <v>1300</v>
      </c>
      <c r="CO22" s="9">
        <v>2500</v>
      </c>
      <c r="CP22" s="9"/>
      <c r="CQ22" s="9"/>
      <c r="CR22" s="11"/>
      <c r="CS22" s="68">
        <v>21000</v>
      </c>
      <c r="CT22" s="10"/>
      <c r="CU22" s="10"/>
      <c r="CV22" s="68">
        <v>800</v>
      </c>
      <c r="CW22" s="68">
        <v>7000</v>
      </c>
      <c r="CX22" s="68">
        <v>8000</v>
      </c>
      <c r="CY22" s="21"/>
      <c r="CZ22" s="20"/>
      <c r="DA22" s="10"/>
      <c r="DB22" s="11"/>
      <c r="DC22" s="24"/>
      <c r="DD22" s="72"/>
    </row>
    <row r="23" spans="1:108">
      <c r="A23" s="9">
        <v>4000</v>
      </c>
      <c r="B23" s="9">
        <v>30500</v>
      </c>
      <c r="C23" s="9">
        <v>4500</v>
      </c>
      <c r="D23" s="9">
        <v>40000</v>
      </c>
      <c r="E23" s="9">
        <v>16000</v>
      </c>
      <c r="F23" s="9">
        <v>2600</v>
      </c>
      <c r="G23" s="9">
        <v>4000</v>
      </c>
      <c r="H23" s="9"/>
      <c r="I23" s="11"/>
      <c r="J23" s="68">
        <v>4360</v>
      </c>
      <c r="K23" s="68">
        <v>20000</v>
      </c>
      <c r="L23" s="10"/>
      <c r="M23" s="68">
        <v>11000</v>
      </c>
      <c r="N23" s="68">
        <v>3500</v>
      </c>
      <c r="O23" s="10"/>
      <c r="P23" s="21"/>
      <c r="Q23" s="20"/>
      <c r="R23" s="10"/>
      <c r="S23" s="11"/>
      <c r="T23" s="24"/>
      <c r="U23" s="72"/>
      <c r="V23" s="24"/>
      <c r="W23" s="9">
        <v>3900</v>
      </c>
      <c r="X23" s="9">
        <v>10000</v>
      </c>
      <c r="Y23" s="9">
        <v>8000</v>
      </c>
      <c r="Z23" s="9">
        <v>2000</v>
      </c>
      <c r="AA23" s="9">
        <v>53000</v>
      </c>
      <c r="AB23" s="9">
        <v>5000</v>
      </c>
      <c r="AC23" s="9"/>
      <c r="AD23" s="11"/>
      <c r="AE23" s="68">
        <v>48040</v>
      </c>
      <c r="AF23" s="68">
        <v>17290</v>
      </c>
      <c r="AG23" s="68">
        <v>3500</v>
      </c>
      <c r="AH23" s="68">
        <v>41000</v>
      </c>
      <c r="AI23" s="68">
        <v>5000</v>
      </c>
      <c r="AJ23" s="68">
        <v>11000</v>
      </c>
      <c r="AK23" s="68">
        <v>1500</v>
      </c>
      <c r="AL23" s="10"/>
      <c r="AM23" s="21"/>
      <c r="AN23" s="20"/>
      <c r="AO23" s="10"/>
      <c r="AP23" s="11"/>
      <c r="AQ23" s="24"/>
      <c r="AR23" s="72"/>
      <c r="AT23" s="9">
        <v>12000</v>
      </c>
      <c r="AU23" s="9">
        <v>4800</v>
      </c>
      <c r="AV23" s="9">
        <v>16000</v>
      </c>
      <c r="AW23" s="9">
        <v>11500</v>
      </c>
      <c r="AX23" s="9">
        <v>3500</v>
      </c>
      <c r="AY23" s="9">
        <v>11600</v>
      </c>
      <c r="AZ23" s="9"/>
      <c r="BA23" s="11"/>
      <c r="BB23" s="68">
        <v>4800</v>
      </c>
      <c r="BC23" s="68">
        <v>3000</v>
      </c>
      <c r="BD23" s="10"/>
      <c r="BE23" s="68">
        <v>12000</v>
      </c>
      <c r="BF23" s="68">
        <v>2100</v>
      </c>
      <c r="BG23" s="10"/>
      <c r="BH23" s="21"/>
      <c r="BI23" s="20"/>
      <c r="BJ23" s="10"/>
      <c r="BK23" s="11"/>
      <c r="BL23" s="24"/>
      <c r="BM23" s="72"/>
      <c r="BO23" s="9">
        <v>4500</v>
      </c>
      <c r="BP23" s="9">
        <v>1000</v>
      </c>
      <c r="BQ23" s="9">
        <v>1800</v>
      </c>
      <c r="BR23" s="9">
        <v>14000</v>
      </c>
      <c r="BS23" s="9">
        <v>10500</v>
      </c>
      <c r="BT23" s="9">
        <v>4500</v>
      </c>
      <c r="BU23" s="9"/>
      <c r="BV23" s="9"/>
      <c r="BW23" s="11"/>
      <c r="BX23" s="68">
        <v>3840</v>
      </c>
      <c r="BY23" s="68">
        <v>4800</v>
      </c>
      <c r="BZ23" s="68">
        <v>8500</v>
      </c>
      <c r="CA23" s="68">
        <v>7000</v>
      </c>
      <c r="CB23" s="68">
        <v>10000</v>
      </c>
      <c r="CC23" s="68">
        <v>30000</v>
      </c>
      <c r="CD23" s="21"/>
      <c r="CE23" s="20"/>
      <c r="CF23" s="10"/>
      <c r="CG23" s="11"/>
      <c r="CH23" s="24"/>
      <c r="CI23" s="72"/>
      <c r="CJ23" s="24"/>
      <c r="CK23" s="9">
        <v>7200</v>
      </c>
      <c r="CL23" s="9">
        <v>15000</v>
      </c>
      <c r="CM23" s="9">
        <v>79000</v>
      </c>
      <c r="CN23" s="9">
        <v>6000</v>
      </c>
      <c r="CO23" s="9">
        <v>8000</v>
      </c>
      <c r="CP23" s="9"/>
      <c r="CQ23" s="9"/>
      <c r="CR23" s="11"/>
      <c r="CS23" s="68">
        <v>6000</v>
      </c>
      <c r="CT23" s="10"/>
      <c r="CU23" s="10"/>
      <c r="CV23" s="68">
        <v>7000</v>
      </c>
      <c r="CW23" s="68">
        <v>1500</v>
      </c>
      <c r="CX23" s="68">
        <v>2400</v>
      </c>
      <c r="CY23" s="21"/>
      <c r="CZ23" s="20"/>
      <c r="DA23" s="10"/>
      <c r="DB23" s="11"/>
      <c r="DC23" s="24"/>
      <c r="DD23" s="72"/>
    </row>
    <row r="24" spans="1:108">
      <c r="A24" s="9">
        <v>7000</v>
      </c>
      <c r="B24" s="9">
        <v>6000</v>
      </c>
      <c r="C24" s="9">
        <v>4000</v>
      </c>
      <c r="D24" s="9">
        <v>20000</v>
      </c>
      <c r="E24" s="9">
        <v>10500</v>
      </c>
      <c r="F24" s="9">
        <v>36000</v>
      </c>
      <c r="G24" s="9">
        <v>7000</v>
      </c>
      <c r="H24" s="9"/>
      <c r="I24" s="11"/>
      <c r="J24" s="68">
        <v>11530</v>
      </c>
      <c r="K24" s="68">
        <v>20000</v>
      </c>
      <c r="L24" s="10"/>
      <c r="M24" s="68">
        <v>6000</v>
      </c>
      <c r="N24" s="68">
        <v>1600</v>
      </c>
      <c r="O24" s="10"/>
      <c r="P24" s="21"/>
      <c r="Q24" s="20"/>
      <c r="R24" s="10"/>
      <c r="S24" s="11"/>
      <c r="T24" s="24"/>
      <c r="U24" s="72"/>
      <c r="V24" s="24"/>
      <c r="W24" s="9">
        <v>3000</v>
      </c>
      <c r="X24" s="9">
        <v>2000</v>
      </c>
      <c r="Y24" s="9">
        <v>600</v>
      </c>
      <c r="Z24" s="9">
        <v>44800</v>
      </c>
      <c r="AA24" s="9">
        <v>2000</v>
      </c>
      <c r="AB24" s="9">
        <v>9000</v>
      </c>
      <c r="AC24" s="9"/>
      <c r="AD24" s="11"/>
      <c r="AE24" s="68">
        <v>9610</v>
      </c>
      <c r="AF24" s="68">
        <v>16000</v>
      </c>
      <c r="AG24" s="68">
        <v>8000</v>
      </c>
      <c r="AH24" s="68">
        <v>8500</v>
      </c>
      <c r="AI24" s="68">
        <v>31000</v>
      </c>
      <c r="AJ24" s="68">
        <v>5000</v>
      </c>
      <c r="AK24" s="68">
        <v>19000</v>
      </c>
      <c r="AL24" s="10"/>
      <c r="AM24" s="21"/>
      <c r="AN24" s="20"/>
      <c r="AO24" s="10"/>
      <c r="AP24" s="11"/>
      <c r="AQ24" s="24"/>
      <c r="AR24" s="72"/>
      <c r="AT24" s="9">
        <v>7200</v>
      </c>
      <c r="AU24" s="9">
        <v>4500</v>
      </c>
      <c r="AV24" s="9">
        <v>7000</v>
      </c>
      <c r="AW24" s="9">
        <v>3000</v>
      </c>
      <c r="AX24" s="9">
        <v>2500</v>
      </c>
      <c r="AY24" s="9">
        <v>1000</v>
      </c>
      <c r="AZ24" s="9"/>
      <c r="BA24" s="11"/>
      <c r="BB24" s="68">
        <v>4800</v>
      </c>
      <c r="BC24" s="68">
        <v>12480</v>
      </c>
      <c r="BD24" s="10"/>
      <c r="BE24" s="68">
        <v>2000</v>
      </c>
      <c r="BF24" s="68">
        <v>14000</v>
      </c>
      <c r="BG24" s="10"/>
      <c r="BH24" s="21"/>
      <c r="BI24" s="20"/>
      <c r="BJ24" s="10"/>
      <c r="BK24" s="11"/>
      <c r="BL24" s="24"/>
      <c r="BM24" s="72"/>
      <c r="BO24" s="9">
        <v>3000</v>
      </c>
      <c r="BP24" s="9">
        <v>4000</v>
      </c>
      <c r="BQ24" s="9">
        <v>5000</v>
      </c>
      <c r="BR24" s="9">
        <v>2600</v>
      </c>
      <c r="BS24" s="9">
        <v>5500</v>
      </c>
      <c r="BT24" s="9">
        <v>7680</v>
      </c>
      <c r="BU24" s="9"/>
      <c r="BV24" s="9"/>
      <c r="BW24" s="11"/>
      <c r="BX24" s="68">
        <v>6470</v>
      </c>
      <c r="BY24" s="68">
        <v>8000</v>
      </c>
      <c r="BZ24" s="68">
        <v>60980</v>
      </c>
      <c r="CA24" s="68">
        <v>9000</v>
      </c>
      <c r="CB24" s="68">
        <v>6000</v>
      </c>
      <c r="CC24" s="68">
        <v>4000</v>
      </c>
      <c r="CD24" s="21"/>
      <c r="CE24" s="20"/>
      <c r="CF24" s="10"/>
      <c r="CG24" s="11"/>
      <c r="CH24" s="24"/>
      <c r="CI24" s="72"/>
      <c r="CJ24" s="24"/>
      <c r="CK24" s="9">
        <v>11000</v>
      </c>
      <c r="CL24" s="9">
        <v>600</v>
      </c>
      <c r="CM24" s="9">
        <v>2500</v>
      </c>
      <c r="CN24" s="9">
        <v>6000</v>
      </c>
      <c r="CO24" s="9">
        <v>20000</v>
      </c>
      <c r="CP24" s="9"/>
      <c r="CQ24" s="9"/>
      <c r="CR24" s="11"/>
      <c r="CS24" s="68">
        <v>5000</v>
      </c>
      <c r="CT24" s="10"/>
      <c r="CU24" s="10"/>
      <c r="CV24" s="68">
        <v>400</v>
      </c>
      <c r="CW24" s="68">
        <v>12000</v>
      </c>
      <c r="CX24" s="68">
        <v>12000</v>
      </c>
      <c r="CY24" s="21"/>
      <c r="CZ24" s="20"/>
      <c r="DA24" s="10"/>
      <c r="DB24" s="11"/>
      <c r="DC24" s="24"/>
      <c r="DD24" s="72"/>
    </row>
    <row r="25" spans="1:108">
      <c r="A25" s="9">
        <v>8500</v>
      </c>
      <c r="B25" s="9">
        <v>12000</v>
      </c>
      <c r="C25" s="9">
        <v>59000</v>
      </c>
      <c r="D25" s="9">
        <v>6500</v>
      </c>
      <c r="E25" s="9">
        <v>3000</v>
      </c>
      <c r="F25" s="9">
        <v>3500</v>
      </c>
      <c r="G25" s="9">
        <v>65000</v>
      </c>
      <c r="H25" s="9"/>
      <c r="I25" s="11"/>
      <c r="J25" s="68">
        <v>18500</v>
      </c>
      <c r="K25" s="68">
        <v>5500</v>
      </c>
      <c r="L25" s="10"/>
      <c r="M25" s="68">
        <v>6000</v>
      </c>
      <c r="N25" s="68">
        <v>20000</v>
      </c>
      <c r="O25" s="10"/>
      <c r="P25" s="21"/>
      <c r="Q25" s="20"/>
      <c r="R25" s="10"/>
      <c r="S25" s="11"/>
      <c r="T25" s="24"/>
      <c r="U25" s="72"/>
      <c r="V25" s="24"/>
      <c r="W25" s="9">
        <v>6400</v>
      </c>
      <c r="X25" s="9">
        <v>14000</v>
      </c>
      <c r="Y25" s="9">
        <v>2300</v>
      </c>
      <c r="Z25" s="9">
        <v>2000</v>
      </c>
      <c r="AA25" s="9">
        <v>10000</v>
      </c>
      <c r="AB25" s="9">
        <v>6000</v>
      </c>
      <c r="AC25" s="9"/>
      <c r="AD25" s="11"/>
      <c r="AE25" s="68">
        <v>5280</v>
      </c>
      <c r="AF25" s="68">
        <v>22000</v>
      </c>
      <c r="AG25" s="68">
        <v>3500</v>
      </c>
      <c r="AH25" s="68">
        <v>4000</v>
      </c>
      <c r="AI25" s="10"/>
      <c r="AJ25" s="68">
        <v>1500</v>
      </c>
      <c r="AK25" s="68">
        <v>6500</v>
      </c>
      <c r="AL25" s="10"/>
      <c r="AM25" s="21"/>
      <c r="AN25" s="20"/>
      <c r="AO25" s="10"/>
      <c r="AP25" s="11"/>
      <c r="AQ25" s="24"/>
      <c r="AR25" s="72"/>
      <c r="AT25" s="9">
        <v>3200</v>
      </c>
      <c r="AU25" s="9">
        <v>6000</v>
      </c>
      <c r="AV25" s="9">
        <v>3500</v>
      </c>
      <c r="AW25" s="9">
        <v>13000</v>
      </c>
      <c r="AX25" s="9">
        <v>4500</v>
      </c>
      <c r="AY25" s="9">
        <v>2500</v>
      </c>
      <c r="AZ25" s="9"/>
      <c r="BA25" s="11"/>
      <c r="BB25" s="68">
        <v>25000</v>
      </c>
      <c r="BC25" s="68">
        <v>12000</v>
      </c>
      <c r="BD25" s="10"/>
      <c r="BE25" s="68">
        <v>8000</v>
      </c>
      <c r="BF25" s="68">
        <v>16500</v>
      </c>
      <c r="BG25" s="10"/>
      <c r="BH25" s="21"/>
      <c r="BI25" s="20"/>
      <c r="BJ25" s="10"/>
      <c r="BK25" s="11"/>
      <c r="BL25" s="24"/>
      <c r="BM25" s="72"/>
      <c r="BO25" s="9">
        <v>2500</v>
      </c>
      <c r="BP25" s="9">
        <v>8500</v>
      </c>
      <c r="BQ25" s="9">
        <v>1900</v>
      </c>
      <c r="BR25" s="9">
        <v>1500</v>
      </c>
      <c r="BS25" s="9">
        <v>4500</v>
      </c>
      <c r="BT25" s="9">
        <v>11000</v>
      </c>
      <c r="BU25" s="9"/>
      <c r="BV25" s="9"/>
      <c r="BW25" s="11"/>
      <c r="BX25" s="68">
        <v>9150</v>
      </c>
      <c r="BY25" s="68">
        <v>3000</v>
      </c>
      <c r="BZ25" s="10"/>
      <c r="CA25" s="68">
        <v>3200</v>
      </c>
      <c r="CB25" s="68">
        <v>7600</v>
      </c>
      <c r="CC25" s="68">
        <v>9500</v>
      </c>
      <c r="CD25" s="21"/>
      <c r="CE25" s="20"/>
      <c r="CF25" s="10"/>
      <c r="CG25" s="11"/>
      <c r="CH25" s="24"/>
      <c r="CI25" s="72"/>
      <c r="CJ25" s="24"/>
      <c r="CK25" s="9">
        <v>9800</v>
      </c>
      <c r="CL25" s="9">
        <v>3800</v>
      </c>
      <c r="CM25" s="9">
        <v>4500</v>
      </c>
      <c r="CN25" s="9">
        <v>19500</v>
      </c>
      <c r="CO25" s="9">
        <v>3500</v>
      </c>
      <c r="CP25" s="9"/>
      <c r="CQ25" s="9"/>
      <c r="CR25" s="11"/>
      <c r="CS25" s="68">
        <v>8500</v>
      </c>
      <c r="CT25" s="10"/>
      <c r="CU25" s="10"/>
      <c r="CV25" s="68">
        <v>14000</v>
      </c>
      <c r="CW25" s="68">
        <v>15000</v>
      </c>
      <c r="CX25" s="68">
        <v>7000</v>
      </c>
      <c r="CY25" s="21"/>
      <c r="CZ25" s="20"/>
      <c r="DA25" s="10"/>
      <c r="DB25" s="11"/>
      <c r="DC25" s="24"/>
      <c r="DD25" s="72"/>
    </row>
    <row r="26" spans="1:108">
      <c r="A26" s="9">
        <v>4000</v>
      </c>
      <c r="B26" s="9">
        <v>4000</v>
      </c>
      <c r="C26" s="9">
        <v>800</v>
      </c>
      <c r="D26" s="9">
        <v>4000</v>
      </c>
      <c r="E26" s="9">
        <v>1500</v>
      </c>
      <c r="F26" s="9">
        <v>20000</v>
      </c>
      <c r="G26" s="9">
        <v>23000</v>
      </c>
      <c r="H26" s="9"/>
      <c r="I26" s="11"/>
      <c r="J26" s="68">
        <v>12200</v>
      </c>
      <c r="K26" s="68">
        <v>60000</v>
      </c>
      <c r="L26" s="10"/>
      <c r="M26" s="68">
        <v>33000</v>
      </c>
      <c r="N26" s="68">
        <v>2300</v>
      </c>
      <c r="O26" s="10"/>
      <c r="P26" s="21"/>
      <c r="Q26" s="20"/>
      <c r="R26" s="10"/>
      <c r="S26" s="11"/>
      <c r="T26" s="24"/>
      <c r="U26" s="72"/>
      <c r="V26" s="24"/>
      <c r="W26" s="9">
        <v>6000</v>
      </c>
      <c r="X26" s="9">
        <v>800</v>
      </c>
      <c r="Y26" s="9">
        <v>4500</v>
      </c>
      <c r="Z26" s="9">
        <v>7000</v>
      </c>
      <c r="AA26" s="9">
        <v>3000</v>
      </c>
      <c r="AB26" s="9">
        <v>7000</v>
      </c>
      <c r="AC26" s="9"/>
      <c r="AD26" s="11"/>
      <c r="AE26" s="68">
        <v>56400</v>
      </c>
      <c r="AF26" s="68">
        <v>3000</v>
      </c>
      <c r="AG26" s="68">
        <v>51000</v>
      </c>
      <c r="AH26" s="68">
        <v>11000</v>
      </c>
      <c r="AI26" s="10"/>
      <c r="AJ26" s="68">
        <v>5100</v>
      </c>
      <c r="AK26" s="68">
        <v>5500</v>
      </c>
      <c r="AL26" s="10"/>
      <c r="AM26" s="21"/>
      <c r="AN26" s="20"/>
      <c r="AO26" s="10"/>
      <c r="AP26" s="11"/>
      <c r="AQ26" s="24"/>
      <c r="AR26" s="72"/>
      <c r="AT26" s="9">
        <v>3000</v>
      </c>
      <c r="AU26" s="9">
        <v>22000</v>
      </c>
      <c r="AV26" s="9">
        <v>700</v>
      </c>
      <c r="AW26" s="9">
        <v>2000</v>
      </c>
      <c r="AX26" s="9">
        <v>10800</v>
      </c>
      <c r="AY26" s="9">
        <v>5000</v>
      </c>
      <c r="AZ26" s="9"/>
      <c r="BA26" s="11"/>
      <c r="BB26" s="68">
        <v>2000</v>
      </c>
      <c r="BC26" s="68">
        <v>34000</v>
      </c>
      <c r="BD26" s="10"/>
      <c r="BE26" s="68">
        <v>4000</v>
      </c>
      <c r="BF26" s="68">
        <v>12500</v>
      </c>
      <c r="BG26" s="10"/>
      <c r="BH26" s="21"/>
      <c r="BI26" s="20"/>
      <c r="BJ26" s="10"/>
      <c r="BK26" s="11"/>
      <c r="BL26" s="24"/>
      <c r="BM26" s="72"/>
      <c r="BO26" s="9">
        <v>4500</v>
      </c>
      <c r="BP26" s="9">
        <v>400</v>
      </c>
      <c r="BQ26" s="9">
        <v>1600</v>
      </c>
      <c r="BR26" s="9">
        <v>5000</v>
      </c>
      <c r="BS26" s="9">
        <v>4500</v>
      </c>
      <c r="BT26" s="9">
        <v>800</v>
      </c>
      <c r="BU26" s="9"/>
      <c r="BV26" s="9"/>
      <c r="BW26" s="11"/>
      <c r="BX26" s="68">
        <v>3050</v>
      </c>
      <c r="BY26" s="68">
        <v>17290</v>
      </c>
      <c r="BZ26" s="10"/>
      <c r="CA26" s="68">
        <v>5600</v>
      </c>
      <c r="CB26" s="68">
        <v>18000</v>
      </c>
      <c r="CC26" s="68">
        <v>1500</v>
      </c>
      <c r="CD26" s="21"/>
      <c r="CE26" s="20"/>
      <c r="CF26" s="10"/>
      <c r="CG26" s="11"/>
      <c r="CH26" s="24"/>
      <c r="CI26" s="72"/>
      <c r="CJ26" s="24"/>
      <c r="CK26" s="9">
        <v>4500</v>
      </c>
      <c r="CL26" s="9">
        <v>8000</v>
      </c>
      <c r="CM26" s="9">
        <v>13000</v>
      </c>
      <c r="CN26" s="9">
        <v>300</v>
      </c>
      <c r="CO26" s="9">
        <v>9000</v>
      </c>
      <c r="CP26" s="9"/>
      <c r="CQ26" s="9"/>
      <c r="CR26" s="11"/>
      <c r="CS26" s="68">
        <v>12000</v>
      </c>
      <c r="CT26" s="10"/>
      <c r="CU26" s="10"/>
      <c r="CV26" s="68">
        <v>10000</v>
      </c>
      <c r="CW26" s="68">
        <v>8000</v>
      </c>
      <c r="CX26" s="68">
        <v>5000</v>
      </c>
      <c r="CY26" s="21"/>
      <c r="CZ26" s="20"/>
      <c r="DA26" s="10"/>
      <c r="DB26" s="11"/>
      <c r="DC26" s="24"/>
      <c r="DD26" s="72"/>
    </row>
    <row r="27" spans="1:108">
      <c r="A27" s="9">
        <v>1000</v>
      </c>
      <c r="B27" s="9">
        <v>15000</v>
      </c>
      <c r="C27" s="9">
        <v>9000</v>
      </c>
      <c r="D27" s="9">
        <v>6500</v>
      </c>
      <c r="E27" s="9">
        <v>7600</v>
      </c>
      <c r="F27" s="9">
        <v>21900</v>
      </c>
      <c r="G27" s="9">
        <v>2500</v>
      </c>
      <c r="H27" s="9"/>
      <c r="I27" s="11"/>
      <c r="J27" s="68">
        <v>60980</v>
      </c>
      <c r="K27" s="68">
        <v>15500</v>
      </c>
      <c r="L27" s="10"/>
      <c r="M27" s="68">
        <v>5000</v>
      </c>
      <c r="N27" s="68">
        <v>4500</v>
      </c>
      <c r="O27" s="10"/>
      <c r="P27" s="21"/>
      <c r="Q27" s="20"/>
      <c r="R27" s="10"/>
      <c r="S27" s="11"/>
      <c r="T27" s="24"/>
      <c r="U27" s="72"/>
      <c r="V27" s="24"/>
      <c r="W27" s="9">
        <v>7600</v>
      </c>
      <c r="X27" s="9">
        <v>1000</v>
      </c>
      <c r="Y27" s="9">
        <v>5000</v>
      </c>
      <c r="Z27" s="9">
        <v>1500</v>
      </c>
      <c r="AA27" s="9">
        <v>12000</v>
      </c>
      <c r="AB27" s="9">
        <v>16000</v>
      </c>
      <c r="AC27" s="9"/>
      <c r="AD27" s="11"/>
      <c r="AE27" s="68">
        <v>900</v>
      </c>
      <c r="AF27" s="68">
        <v>4200</v>
      </c>
      <c r="AG27" s="68">
        <v>24000</v>
      </c>
      <c r="AH27" s="68">
        <v>25000</v>
      </c>
      <c r="AI27" s="10"/>
      <c r="AJ27" s="68">
        <v>5000</v>
      </c>
      <c r="AK27" s="68">
        <v>15000</v>
      </c>
      <c r="AL27" s="10"/>
      <c r="AM27" s="21"/>
      <c r="AN27" s="20"/>
      <c r="AO27" s="10"/>
      <c r="AP27" s="11"/>
      <c r="AQ27" s="24"/>
      <c r="AR27" s="72"/>
      <c r="AT27" s="9">
        <v>1200</v>
      </c>
      <c r="AU27" s="9">
        <v>3500</v>
      </c>
      <c r="AV27" s="9">
        <v>3200</v>
      </c>
      <c r="AW27" s="9">
        <v>1800</v>
      </c>
      <c r="AX27" s="9">
        <v>6000</v>
      </c>
      <c r="AY27" s="9">
        <v>1500</v>
      </c>
      <c r="AZ27" s="9"/>
      <c r="BA27" s="11"/>
      <c r="BB27" s="68">
        <v>1500</v>
      </c>
      <c r="BC27" s="68">
        <v>4000</v>
      </c>
      <c r="BD27" s="10"/>
      <c r="BE27" s="68">
        <v>8000</v>
      </c>
      <c r="BF27" s="68">
        <v>1750</v>
      </c>
      <c r="BG27" s="10"/>
      <c r="BH27" s="21"/>
      <c r="BI27" s="20"/>
      <c r="BJ27" s="10"/>
      <c r="BK27" s="11"/>
      <c r="BL27" s="24"/>
      <c r="BM27" s="72"/>
      <c r="BO27" s="9">
        <v>40000</v>
      </c>
      <c r="BP27" s="9">
        <v>500</v>
      </c>
      <c r="BQ27" s="9">
        <v>2500</v>
      </c>
      <c r="BR27" s="9">
        <v>5000</v>
      </c>
      <c r="BS27" s="9">
        <v>6500</v>
      </c>
      <c r="BT27" s="9">
        <v>4000</v>
      </c>
      <c r="BU27" s="9"/>
      <c r="BV27" s="9"/>
      <c r="BW27" s="11"/>
      <c r="BX27" s="68">
        <v>12200</v>
      </c>
      <c r="BY27" s="68">
        <v>34100</v>
      </c>
      <c r="BZ27" s="10"/>
      <c r="CA27" s="68">
        <v>7000</v>
      </c>
      <c r="CB27" s="68">
        <v>7800</v>
      </c>
      <c r="CC27" s="68">
        <v>13000</v>
      </c>
      <c r="CD27" s="21"/>
      <c r="CE27" s="20"/>
      <c r="CF27" s="10"/>
      <c r="CG27" s="11"/>
      <c r="CH27" s="24"/>
      <c r="CI27" s="72"/>
      <c r="CJ27" s="24"/>
      <c r="CK27" s="9">
        <v>1500</v>
      </c>
      <c r="CL27" s="9">
        <v>3000</v>
      </c>
      <c r="CM27" s="9">
        <v>11000</v>
      </c>
      <c r="CN27" s="9">
        <v>2400</v>
      </c>
      <c r="CO27" s="9">
        <v>4500</v>
      </c>
      <c r="CP27" s="9"/>
      <c r="CQ27" s="9"/>
      <c r="CR27" s="11"/>
      <c r="CS27" s="68">
        <v>2000</v>
      </c>
      <c r="CT27" s="10"/>
      <c r="CU27" s="10"/>
      <c r="CV27" s="68">
        <v>14000</v>
      </c>
      <c r="CW27" s="68">
        <v>25000</v>
      </c>
      <c r="CX27" s="10"/>
      <c r="CY27" s="21"/>
      <c r="CZ27" s="20"/>
      <c r="DA27" s="10"/>
      <c r="DB27" s="11"/>
      <c r="DC27" s="24"/>
      <c r="DD27" s="72"/>
    </row>
    <row r="28" spans="1:108">
      <c r="A28" s="9">
        <v>59000</v>
      </c>
      <c r="B28" s="9">
        <v>5000</v>
      </c>
      <c r="C28" s="9">
        <v>10000</v>
      </c>
      <c r="D28" s="9">
        <v>13000</v>
      </c>
      <c r="E28" s="9">
        <v>2000</v>
      </c>
      <c r="F28" s="9">
        <v>6000</v>
      </c>
      <c r="G28" s="9">
        <v>8000</v>
      </c>
      <c r="H28" s="9"/>
      <c r="I28" s="11"/>
      <c r="J28" s="68">
        <v>4070</v>
      </c>
      <c r="K28" s="68">
        <v>3550</v>
      </c>
      <c r="L28" s="10"/>
      <c r="M28" s="68">
        <v>42000</v>
      </c>
      <c r="N28" s="68">
        <v>48000</v>
      </c>
      <c r="O28" s="10"/>
      <c r="P28" s="21"/>
      <c r="Q28" s="20"/>
      <c r="R28" s="10"/>
      <c r="S28" s="11"/>
      <c r="T28" s="24"/>
      <c r="U28" s="72"/>
      <c r="V28" s="24"/>
      <c r="W28" s="9">
        <v>4500</v>
      </c>
      <c r="X28" s="9">
        <v>30000</v>
      </c>
      <c r="Y28" s="9">
        <v>500</v>
      </c>
      <c r="Z28" s="9">
        <v>3800</v>
      </c>
      <c r="AA28" s="9">
        <v>7000</v>
      </c>
      <c r="AB28" s="9">
        <v>5500</v>
      </c>
      <c r="AC28" s="9"/>
      <c r="AD28" s="11"/>
      <c r="AE28" s="68">
        <v>5500</v>
      </c>
      <c r="AF28" s="68">
        <v>5800</v>
      </c>
      <c r="AG28" s="68">
        <v>1000</v>
      </c>
      <c r="AH28" s="68">
        <v>4000</v>
      </c>
      <c r="AI28" s="10"/>
      <c r="AJ28" s="68">
        <v>12200</v>
      </c>
      <c r="AK28" s="68">
        <v>8000</v>
      </c>
      <c r="AL28" s="10"/>
      <c r="AM28" s="21"/>
      <c r="AN28" s="20"/>
      <c r="AO28" s="10"/>
      <c r="AP28" s="11"/>
      <c r="AQ28" s="24"/>
      <c r="AR28" s="72"/>
      <c r="AT28" s="9">
        <v>7700</v>
      </c>
      <c r="AU28" s="9">
        <v>600</v>
      </c>
      <c r="AV28" s="9">
        <v>5000</v>
      </c>
      <c r="AW28" s="9">
        <v>500</v>
      </c>
      <c r="AX28" s="9">
        <v>2000</v>
      </c>
      <c r="AY28" s="9">
        <v>2500</v>
      </c>
      <c r="AZ28" s="9"/>
      <c r="BA28" s="11"/>
      <c r="BB28" s="68">
        <v>4500</v>
      </c>
      <c r="BC28" s="68">
        <v>4500</v>
      </c>
      <c r="BD28" s="10"/>
      <c r="BE28" s="68">
        <v>15000</v>
      </c>
      <c r="BF28" s="68">
        <v>3500</v>
      </c>
      <c r="BG28" s="10"/>
      <c r="BH28" s="21"/>
      <c r="BI28" s="20"/>
      <c r="BJ28" s="10"/>
      <c r="BK28" s="11"/>
      <c r="BL28" s="24"/>
      <c r="BM28" s="72"/>
      <c r="BO28" s="9">
        <v>4500</v>
      </c>
      <c r="BP28" s="9">
        <v>5300</v>
      </c>
      <c r="BQ28" s="9">
        <v>3000</v>
      </c>
      <c r="BR28" s="9">
        <v>6000</v>
      </c>
      <c r="BS28" s="9">
        <v>5000</v>
      </c>
      <c r="BT28" s="9">
        <v>5000</v>
      </c>
      <c r="BU28" s="9"/>
      <c r="BV28" s="9"/>
      <c r="BW28" s="11"/>
      <c r="BX28" s="68">
        <v>37370</v>
      </c>
      <c r="BY28" s="68">
        <v>3360</v>
      </c>
      <c r="BZ28" s="10"/>
      <c r="CA28" s="68">
        <v>7000</v>
      </c>
      <c r="CB28" s="68">
        <v>7800</v>
      </c>
      <c r="CC28" s="10"/>
      <c r="CD28" s="21"/>
      <c r="CE28" s="20"/>
      <c r="CF28" s="10"/>
      <c r="CG28" s="11"/>
      <c r="CH28" s="24"/>
      <c r="CI28" s="72"/>
      <c r="CJ28" s="24"/>
      <c r="CK28" s="9">
        <v>10000</v>
      </c>
      <c r="CL28" s="9">
        <v>4000</v>
      </c>
      <c r="CM28" s="9">
        <v>2000</v>
      </c>
      <c r="CN28" s="9">
        <v>6000</v>
      </c>
      <c r="CO28" s="9">
        <v>500</v>
      </c>
      <c r="CP28" s="9"/>
      <c r="CQ28" s="9"/>
      <c r="CR28" s="11"/>
      <c r="CS28" s="68">
        <v>38500</v>
      </c>
      <c r="CT28" s="10"/>
      <c r="CU28" s="10"/>
      <c r="CV28" s="68">
        <v>2500</v>
      </c>
      <c r="CW28" s="68">
        <v>4000</v>
      </c>
      <c r="CX28" s="10"/>
      <c r="CY28" s="21"/>
      <c r="CZ28" s="20"/>
      <c r="DA28" s="10"/>
      <c r="DB28" s="11"/>
      <c r="DC28" s="24"/>
      <c r="DD28" s="72"/>
    </row>
    <row r="29" spans="1:108">
      <c r="A29" s="9">
        <v>10500</v>
      </c>
      <c r="B29" s="9">
        <v>7000</v>
      </c>
      <c r="C29" s="9">
        <v>6500</v>
      </c>
      <c r="D29" s="9">
        <v>7000</v>
      </c>
      <c r="E29" s="9">
        <v>10000</v>
      </c>
      <c r="F29" s="9">
        <v>16000</v>
      </c>
      <c r="G29" s="9">
        <v>2000</v>
      </c>
      <c r="H29" s="9"/>
      <c r="I29" s="11"/>
      <c r="J29" s="68">
        <v>28330</v>
      </c>
      <c r="K29" s="68">
        <v>20000</v>
      </c>
      <c r="L29" s="10"/>
      <c r="M29" s="68">
        <v>4500</v>
      </c>
      <c r="N29" s="68">
        <v>6000</v>
      </c>
      <c r="O29" s="10"/>
      <c r="P29" s="21"/>
      <c r="Q29" s="20"/>
      <c r="R29" s="10"/>
      <c r="S29" s="11"/>
      <c r="T29" s="24"/>
      <c r="U29" s="72"/>
      <c r="V29" s="24"/>
      <c r="W29" s="9">
        <v>10000</v>
      </c>
      <c r="X29" s="9">
        <v>1500</v>
      </c>
      <c r="Y29" s="9">
        <v>9000</v>
      </c>
      <c r="Z29" s="9">
        <v>2500</v>
      </c>
      <c r="AA29" s="9">
        <v>3000</v>
      </c>
      <c r="AB29" s="9">
        <v>5500</v>
      </c>
      <c r="AC29" s="9"/>
      <c r="AD29" s="11"/>
      <c r="AE29" s="68">
        <v>1730</v>
      </c>
      <c r="AF29" s="68">
        <v>65000</v>
      </c>
      <c r="AG29" s="68">
        <v>23000</v>
      </c>
      <c r="AH29" s="68">
        <v>7430</v>
      </c>
      <c r="AI29" s="10"/>
      <c r="AJ29" s="68">
        <v>8500</v>
      </c>
      <c r="AK29" s="68">
        <v>7000</v>
      </c>
      <c r="AL29" s="10"/>
      <c r="AM29" s="21"/>
      <c r="AN29" s="20"/>
      <c r="AO29" s="10"/>
      <c r="AP29" s="11"/>
      <c r="AQ29" s="24"/>
      <c r="AR29" s="72"/>
      <c r="AT29" s="9">
        <v>10500</v>
      </c>
      <c r="AU29" s="9">
        <v>2500</v>
      </c>
      <c r="AV29" s="9">
        <v>3200</v>
      </c>
      <c r="AW29" s="9">
        <v>1000</v>
      </c>
      <c r="AX29" s="9">
        <v>2500</v>
      </c>
      <c r="AY29" s="9">
        <v>13500</v>
      </c>
      <c r="AZ29" s="9"/>
      <c r="BA29" s="11"/>
      <c r="BB29" s="68">
        <v>7600</v>
      </c>
      <c r="BC29" s="68">
        <v>4160</v>
      </c>
      <c r="BD29" s="10"/>
      <c r="BE29" s="68">
        <v>2000</v>
      </c>
      <c r="BF29" s="68">
        <v>3500</v>
      </c>
      <c r="BG29" s="10"/>
      <c r="BH29" s="21"/>
      <c r="BI29" s="20"/>
      <c r="BJ29" s="10"/>
      <c r="BK29" s="11"/>
      <c r="BL29" s="24"/>
      <c r="BM29" s="72"/>
      <c r="BO29" s="9">
        <v>4500</v>
      </c>
      <c r="BP29" s="9">
        <v>7000</v>
      </c>
      <c r="BQ29" s="9">
        <v>4500</v>
      </c>
      <c r="BR29" s="9">
        <v>1000</v>
      </c>
      <c r="BS29" s="9">
        <v>13000</v>
      </c>
      <c r="BT29" s="9">
        <v>90000</v>
      </c>
      <c r="BU29" s="9"/>
      <c r="BV29" s="9"/>
      <c r="BW29" s="11"/>
      <c r="BX29" s="68">
        <v>7690</v>
      </c>
      <c r="BY29" s="68">
        <v>1500</v>
      </c>
      <c r="BZ29" s="10"/>
      <c r="CA29" s="68">
        <v>5000</v>
      </c>
      <c r="CB29" s="68">
        <v>11000</v>
      </c>
      <c r="CC29" s="10"/>
      <c r="CD29" s="21"/>
      <c r="CE29" s="20"/>
      <c r="CF29" s="10"/>
      <c r="CG29" s="11"/>
      <c r="CH29" s="24"/>
      <c r="CI29" s="72"/>
      <c r="CJ29" s="24"/>
      <c r="CK29" s="9">
        <v>25000</v>
      </c>
      <c r="CL29" s="9">
        <v>5000</v>
      </c>
      <c r="CM29" s="9">
        <v>10000</v>
      </c>
      <c r="CN29" s="9">
        <v>4500</v>
      </c>
      <c r="CO29" s="9">
        <v>6700</v>
      </c>
      <c r="CP29" s="9"/>
      <c r="CQ29" s="9"/>
      <c r="CR29" s="11"/>
      <c r="CS29" s="68">
        <v>18800</v>
      </c>
      <c r="CT29" s="10"/>
      <c r="CU29" s="10"/>
      <c r="CV29" s="68">
        <v>13600</v>
      </c>
      <c r="CW29" s="68">
        <v>7500</v>
      </c>
      <c r="CX29" s="10"/>
      <c r="CY29" s="21"/>
      <c r="CZ29" s="20"/>
      <c r="DA29" s="10"/>
      <c r="DB29" s="11"/>
      <c r="DC29" s="24"/>
      <c r="DD29" s="72"/>
    </row>
    <row r="30" spans="1:108">
      <c r="A30" s="9">
        <v>2000</v>
      </c>
      <c r="B30" s="9">
        <v>1600</v>
      </c>
      <c r="C30" s="9">
        <v>3400</v>
      </c>
      <c r="D30" s="9">
        <v>800</v>
      </c>
      <c r="E30" s="9">
        <v>11900</v>
      </c>
      <c r="F30" s="9">
        <v>3300</v>
      </c>
      <c r="G30" s="9">
        <v>19000</v>
      </c>
      <c r="H30" s="9"/>
      <c r="I30" s="11"/>
      <c r="J30" s="68">
        <v>221740</v>
      </c>
      <c r="K30" s="68">
        <v>30500</v>
      </c>
      <c r="L30" s="10"/>
      <c r="M30" s="68">
        <v>20000</v>
      </c>
      <c r="N30" s="68">
        <v>50000</v>
      </c>
      <c r="O30" s="10"/>
      <c r="P30" s="21"/>
      <c r="Q30" s="20"/>
      <c r="R30" s="10"/>
      <c r="S30" s="11"/>
      <c r="T30" s="24"/>
      <c r="U30" s="72"/>
      <c r="V30" s="24"/>
      <c r="W30" s="9">
        <v>1000</v>
      </c>
      <c r="X30" s="9">
        <v>4500</v>
      </c>
      <c r="Y30" s="9">
        <v>4800</v>
      </c>
      <c r="Z30" s="9">
        <v>16000</v>
      </c>
      <c r="AA30" s="9">
        <v>5300</v>
      </c>
      <c r="AB30" s="9">
        <v>2000</v>
      </c>
      <c r="AC30" s="9"/>
      <c r="AD30" s="11"/>
      <c r="AE30" s="68">
        <v>4570</v>
      </c>
      <c r="AF30" s="68">
        <v>5500</v>
      </c>
      <c r="AG30" s="68">
        <v>500</v>
      </c>
      <c r="AH30" s="68">
        <v>3500</v>
      </c>
      <c r="AI30" s="10"/>
      <c r="AJ30" s="68">
        <v>6000</v>
      </c>
      <c r="AK30" s="68">
        <v>5000</v>
      </c>
      <c r="AL30" s="10"/>
      <c r="AM30" s="21"/>
      <c r="AN30" s="20" t="s">
        <v>50</v>
      </c>
      <c r="AO30" s="10">
        <v>400000</v>
      </c>
      <c r="AP30" s="11"/>
      <c r="AQ30" s="24"/>
      <c r="AR30" s="72"/>
      <c r="AT30" s="9">
        <v>4000</v>
      </c>
      <c r="AU30" s="9">
        <v>5000</v>
      </c>
      <c r="AV30" s="9">
        <v>900</v>
      </c>
      <c r="AW30" s="9">
        <v>7300</v>
      </c>
      <c r="AX30" s="9">
        <v>7000</v>
      </c>
      <c r="AY30" s="9">
        <v>2500</v>
      </c>
      <c r="AZ30" s="9"/>
      <c r="BA30" s="11"/>
      <c r="BB30" s="68">
        <v>23000</v>
      </c>
      <c r="BC30" s="68">
        <v>14410</v>
      </c>
      <c r="BD30" s="10"/>
      <c r="BE30" s="68">
        <v>4500</v>
      </c>
      <c r="BF30" s="68">
        <v>43000</v>
      </c>
      <c r="BG30" s="10"/>
      <c r="BH30" s="21"/>
      <c r="BI30" s="20"/>
      <c r="BJ30" s="10"/>
      <c r="BK30" s="11"/>
      <c r="BL30" s="24"/>
      <c r="BM30" s="72"/>
      <c r="BO30" s="9">
        <v>2000</v>
      </c>
      <c r="BP30" s="9">
        <v>3800</v>
      </c>
      <c r="BQ30" s="9">
        <v>11300</v>
      </c>
      <c r="BR30" s="9">
        <v>8900</v>
      </c>
      <c r="BS30" s="9">
        <v>4000</v>
      </c>
      <c r="BT30" s="9">
        <v>4500</v>
      </c>
      <c r="BU30" s="9"/>
      <c r="BV30" s="9"/>
      <c r="BW30" s="11"/>
      <c r="BX30" s="68">
        <v>36080</v>
      </c>
      <c r="BY30" s="68">
        <v>6000</v>
      </c>
      <c r="BZ30" s="10"/>
      <c r="CA30" s="68">
        <v>15000</v>
      </c>
      <c r="CB30" s="68">
        <v>2000</v>
      </c>
      <c r="CC30" s="10"/>
      <c r="CD30" s="21"/>
      <c r="CE30" s="20" t="s">
        <v>50</v>
      </c>
      <c r="CF30" s="10">
        <v>400000</v>
      </c>
      <c r="CG30" s="11"/>
      <c r="CH30" s="24"/>
      <c r="CI30" s="72"/>
      <c r="CJ30" s="24"/>
      <c r="CK30" s="9">
        <v>7400</v>
      </c>
      <c r="CL30" s="9">
        <v>3000</v>
      </c>
      <c r="CM30" s="9">
        <v>9000</v>
      </c>
      <c r="CN30" s="9">
        <v>17000</v>
      </c>
      <c r="CO30" s="9">
        <v>10200</v>
      </c>
      <c r="CP30" s="9"/>
      <c r="CQ30" s="9"/>
      <c r="CR30" s="11"/>
      <c r="CS30" s="68">
        <v>17200</v>
      </c>
      <c r="CT30" s="10"/>
      <c r="CU30" s="10"/>
      <c r="CV30" s="68">
        <v>12000</v>
      </c>
      <c r="CW30" s="68">
        <v>9500</v>
      </c>
      <c r="CX30" s="10"/>
      <c r="CY30" s="21"/>
      <c r="CZ30" s="20" t="s">
        <v>50</v>
      </c>
      <c r="DA30" s="10">
        <v>400000</v>
      </c>
      <c r="DB30" s="11"/>
      <c r="DC30" s="24"/>
      <c r="DD30" s="72"/>
    </row>
    <row r="31" spans="1:108">
      <c r="A31" s="9">
        <v>5500</v>
      </c>
      <c r="B31" s="9">
        <v>4500</v>
      </c>
      <c r="C31" s="9">
        <v>20000</v>
      </c>
      <c r="D31" s="9">
        <v>2200</v>
      </c>
      <c r="E31" s="9">
        <v>6000</v>
      </c>
      <c r="F31" s="9">
        <v>2000</v>
      </c>
      <c r="G31" s="9">
        <v>7000</v>
      </c>
      <c r="H31" s="9"/>
      <c r="I31" s="11"/>
      <c r="J31" s="68">
        <v>67250</v>
      </c>
      <c r="K31" s="68">
        <v>8500</v>
      </c>
      <c r="L31" s="10"/>
      <c r="M31" s="68">
        <v>11000</v>
      </c>
      <c r="N31" s="68">
        <v>18000</v>
      </c>
      <c r="O31" s="10"/>
      <c r="P31" s="21"/>
      <c r="Q31" s="20" t="s">
        <v>50</v>
      </c>
      <c r="R31" s="10">
        <v>400000</v>
      </c>
      <c r="S31" s="11"/>
      <c r="T31" s="24"/>
      <c r="U31" s="72"/>
      <c r="V31" s="24"/>
      <c r="W31" s="9">
        <v>400</v>
      </c>
      <c r="X31" s="9">
        <v>7000</v>
      </c>
      <c r="Y31" s="9">
        <v>8000</v>
      </c>
      <c r="Z31" s="9">
        <v>2500</v>
      </c>
      <c r="AA31" s="9">
        <v>2000</v>
      </c>
      <c r="AB31" s="9">
        <v>6000</v>
      </c>
      <c r="AC31" s="9"/>
      <c r="AD31" s="11"/>
      <c r="AE31" s="68">
        <v>1200</v>
      </c>
      <c r="AF31" s="68">
        <v>9000</v>
      </c>
      <c r="AG31" s="68">
        <v>2000</v>
      </c>
      <c r="AH31" s="68">
        <v>52800</v>
      </c>
      <c r="AI31" s="10"/>
      <c r="AJ31" s="68">
        <v>8000</v>
      </c>
      <c r="AK31" s="68">
        <v>4000</v>
      </c>
      <c r="AL31" s="10"/>
      <c r="AM31" s="21"/>
      <c r="AN31" s="20" t="s">
        <v>53</v>
      </c>
      <c r="AO31" s="10">
        <v>400000</v>
      </c>
      <c r="AP31" s="11"/>
      <c r="AQ31" s="24"/>
      <c r="AR31" s="72"/>
      <c r="AT31" s="9">
        <v>2500</v>
      </c>
      <c r="AU31" s="9">
        <v>2000</v>
      </c>
      <c r="AV31" s="9">
        <v>11500</v>
      </c>
      <c r="AW31" s="9">
        <v>14000</v>
      </c>
      <c r="AX31" s="9">
        <v>5000</v>
      </c>
      <c r="AY31" s="9">
        <v>8000</v>
      </c>
      <c r="AZ31" s="9"/>
      <c r="BA31" s="11"/>
      <c r="BB31" s="68">
        <v>2800</v>
      </c>
      <c r="BC31" s="68">
        <v>3840</v>
      </c>
      <c r="BD31" s="10"/>
      <c r="BE31" s="68">
        <v>62000</v>
      </c>
      <c r="BF31" s="68">
        <v>4000</v>
      </c>
      <c r="BG31" s="10"/>
      <c r="BH31" s="21"/>
      <c r="BI31" s="20" t="s">
        <v>50</v>
      </c>
      <c r="BJ31" s="10">
        <v>400000</v>
      </c>
      <c r="BK31" s="11"/>
      <c r="BL31" s="24"/>
      <c r="BM31" s="72"/>
      <c r="BO31" s="9">
        <v>33000</v>
      </c>
      <c r="BP31" s="9">
        <v>500</v>
      </c>
      <c r="BQ31" s="9">
        <v>3000</v>
      </c>
      <c r="BR31" s="9">
        <v>33000</v>
      </c>
      <c r="BS31" s="9">
        <v>7000</v>
      </c>
      <c r="BT31" s="9">
        <v>1000</v>
      </c>
      <c r="BU31" s="9"/>
      <c r="BV31" s="9"/>
      <c r="BW31" s="11"/>
      <c r="BX31" s="68">
        <v>3000</v>
      </c>
      <c r="BY31" s="68">
        <v>20000</v>
      </c>
      <c r="BZ31" s="10"/>
      <c r="CA31" s="68">
        <v>2000</v>
      </c>
      <c r="CB31" s="68">
        <v>18000</v>
      </c>
      <c r="CC31" s="10"/>
      <c r="CD31" s="21"/>
      <c r="CE31" s="20" t="s">
        <v>164</v>
      </c>
      <c r="CF31" s="10">
        <v>20000</v>
      </c>
      <c r="CG31" s="11"/>
      <c r="CH31" s="24"/>
      <c r="CI31" s="72"/>
      <c r="CJ31" s="24"/>
      <c r="CK31" s="9">
        <v>12600</v>
      </c>
      <c r="CL31" s="9">
        <v>2000</v>
      </c>
      <c r="CM31" s="9">
        <v>17100</v>
      </c>
      <c r="CN31" s="9">
        <v>5000</v>
      </c>
      <c r="CO31" s="9">
        <v>2800</v>
      </c>
      <c r="CP31" s="9"/>
      <c r="CQ31" s="9"/>
      <c r="CR31" s="11"/>
      <c r="CS31" s="68">
        <v>1500</v>
      </c>
      <c r="CT31" s="10"/>
      <c r="CU31" s="10"/>
      <c r="CV31" s="68">
        <v>18800</v>
      </c>
      <c r="CW31" s="68">
        <v>20000</v>
      </c>
      <c r="CX31" s="10"/>
      <c r="CY31" s="21"/>
      <c r="CZ31" s="20" t="s">
        <v>53</v>
      </c>
      <c r="DA31" s="10">
        <v>400000</v>
      </c>
      <c r="DB31" s="11"/>
      <c r="DC31" s="24"/>
      <c r="DD31" s="72"/>
    </row>
    <row r="32" spans="1:108">
      <c r="A32" s="9">
        <v>38500</v>
      </c>
      <c r="B32" s="9">
        <v>15000</v>
      </c>
      <c r="C32" s="9">
        <v>10500</v>
      </c>
      <c r="D32" s="9">
        <v>2000</v>
      </c>
      <c r="E32" s="9">
        <v>1000</v>
      </c>
      <c r="F32" s="9">
        <v>8600</v>
      </c>
      <c r="G32" s="9">
        <v>8500</v>
      </c>
      <c r="H32" s="9"/>
      <c r="I32" s="11"/>
      <c r="J32" s="68">
        <v>1440</v>
      </c>
      <c r="K32" s="68">
        <v>13000</v>
      </c>
      <c r="L32" s="10"/>
      <c r="M32" s="68">
        <v>6500</v>
      </c>
      <c r="N32" s="68">
        <v>5000</v>
      </c>
      <c r="O32" s="10"/>
      <c r="P32" s="21"/>
      <c r="Q32" s="20" t="s">
        <v>53</v>
      </c>
      <c r="R32" s="10">
        <v>400000</v>
      </c>
      <c r="S32" s="11"/>
      <c r="T32" s="24"/>
      <c r="U32" s="72"/>
      <c r="V32" s="24"/>
      <c r="W32" s="9">
        <v>2500</v>
      </c>
      <c r="X32" s="9">
        <v>3500</v>
      </c>
      <c r="Y32" s="9">
        <v>2300</v>
      </c>
      <c r="Z32" s="9">
        <v>800</v>
      </c>
      <c r="AA32" s="9">
        <v>4000</v>
      </c>
      <c r="AB32" s="9">
        <v>10000</v>
      </c>
      <c r="AC32" s="9"/>
      <c r="AD32" s="11"/>
      <c r="AE32" s="68">
        <v>9000</v>
      </c>
      <c r="AF32" s="68">
        <v>13570</v>
      </c>
      <c r="AG32" s="68">
        <v>23600</v>
      </c>
      <c r="AH32" s="68">
        <v>23000</v>
      </c>
      <c r="AI32" s="10"/>
      <c r="AJ32" s="68">
        <v>36000</v>
      </c>
      <c r="AK32" s="68">
        <v>500</v>
      </c>
      <c r="AL32" s="10"/>
      <c r="AM32" s="21"/>
      <c r="AN32" s="20"/>
      <c r="AO32" s="10"/>
      <c r="AP32" s="11"/>
      <c r="AQ32" s="24"/>
      <c r="AR32" s="72"/>
      <c r="AT32" s="9">
        <v>6000</v>
      </c>
      <c r="AU32" s="9">
        <v>20000</v>
      </c>
      <c r="AV32" s="9">
        <v>300</v>
      </c>
      <c r="AW32" s="9">
        <v>7400</v>
      </c>
      <c r="AX32" s="9">
        <v>4500</v>
      </c>
      <c r="AY32" s="9">
        <v>600</v>
      </c>
      <c r="AZ32" s="9"/>
      <c r="BA32" s="11"/>
      <c r="BB32" s="68">
        <v>14000</v>
      </c>
      <c r="BC32" s="68">
        <v>7500</v>
      </c>
      <c r="BD32" s="10"/>
      <c r="BE32" s="68">
        <v>20500</v>
      </c>
      <c r="BF32" s="68">
        <v>9000</v>
      </c>
      <c r="BG32" s="10"/>
      <c r="BH32" s="21"/>
      <c r="BI32" s="20" t="s">
        <v>53</v>
      </c>
      <c r="BJ32" s="10">
        <v>400000</v>
      </c>
      <c r="BK32" s="11"/>
      <c r="BL32" s="24"/>
      <c r="BM32" s="72"/>
      <c r="BO32" s="9">
        <v>5500</v>
      </c>
      <c r="BP32" s="9">
        <v>4000</v>
      </c>
      <c r="BQ32" s="9">
        <v>4000</v>
      </c>
      <c r="BR32" s="9">
        <v>21000</v>
      </c>
      <c r="BS32" s="9">
        <v>6000</v>
      </c>
      <c r="BT32" s="9">
        <v>17500</v>
      </c>
      <c r="BU32" s="9"/>
      <c r="BV32" s="9"/>
      <c r="BW32" s="11"/>
      <c r="BX32" s="68">
        <v>6000</v>
      </c>
      <c r="BY32" s="68">
        <v>16000</v>
      </c>
      <c r="BZ32" s="10"/>
      <c r="CA32" s="68">
        <v>23000</v>
      </c>
      <c r="CB32" s="68">
        <v>9000</v>
      </c>
      <c r="CC32" s="10"/>
      <c r="CD32" s="21"/>
      <c r="CE32" s="20" t="s">
        <v>164</v>
      </c>
      <c r="CF32" s="10">
        <v>30000</v>
      </c>
      <c r="CG32" s="11"/>
      <c r="CH32" s="24"/>
      <c r="CI32" s="72"/>
      <c r="CJ32" s="24"/>
      <c r="CK32" s="9">
        <v>2500</v>
      </c>
      <c r="CL32" s="9">
        <v>15000</v>
      </c>
      <c r="CM32" s="9">
        <v>13500</v>
      </c>
      <c r="CN32" s="9">
        <v>3500</v>
      </c>
      <c r="CO32" s="9">
        <v>12500</v>
      </c>
      <c r="CP32" s="9"/>
      <c r="CQ32" s="9"/>
      <c r="CR32" s="11"/>
      <c r="CS32" s="68">
        <v>8430</v>
      </c>
      <c r="CT32" s="10"/>
      <c r="CU32" s="10"/>
      <c r="CV32" s="68">
        <v>5000</v>
      </c>
      <c r="CW32" s="68">
        <v>7000</v>
      </c>
      <c r="CX32" s="10"/>
      <c r="CY32" s="21"/>
      <c r="CZ32" s="20"/>
      <c r="DA32" s="10"/>
      <c r="DB32" s="11"/>
      <c r="DC32" s="24"/>
      <c r="DD32" s="72"/>
    </row>
    <row r="33" spans="1:108">
      <c r="A33" s="9">
        <v>4000</v>
      </c>
      <c r="B33" s="9">
        <v>800</v>
      </c>
      <c r="C33" s="9">
        <v>10000</v>
      </c>
      <c r="D33" s="9">
        <v>4500</v>
      </c>
      <c r="E33" s="9">
        <v>5500</v>
      </c>
      <c r="F33" s="9">
        <v>4000</v>
      </c>
      <c r="G33" s="9">
        <v>1500</v>
      </c>
      <c r="H33" s="9"/>
      <c r="I33" s="11"/>
      <c r="J33" s="68">
        <v>12380</v>
      </c>
      <c r="K33" s="68">
        <v>2000</v>
      </c>
      <c r="L33" s="10"/>
      <c r="M33" s="68">
        <v>12000</v>
      </c>
      <c r="N33" s="68">
        <v>20000</v>
      </c>
      <c r="O33" s="10"/>
      <c r="P33" s="21"/>
      <c r="Q33" s="20"/>
      <c r="R33" s="10"/>
      <c r="S33" s="11"/>
      <c r="T33" s="24"/>
      <c r="U33" s="72"/>
      <c r="V33" s="24"/>
      <c r="W33" s="9">
        <v>24500</v>
      </c>
      <c r="X33" s="9">
        <v>19500</v>
      </c>
      <c r="Y33" s="9">
        <v>8000</v>
      </c>
      <c r="Z33" s="9">
        <v>31000</v>
      </c>
      <c r="AA33" s="9">
        <v>4500</v>
      </c>
      <c r="AB33" s="9">
        <v>1800</v>
      </c>
      <c r="AC33" s="9"/>
      <c r="AD33" s="11"/>
      <c r="AE33" s="68">
        <v>37500</v>
      </c>
      <c r="AF33" s="68">
        <v>57640</v>
      </c>
      <c r="AG33" s="68">
        <v>15500</v>
      </c>
      <c r="AH33" s="68">
        <v>11500</v>
      </c>
      <c r="AI33" s="10"/>
      <c r="AJ33" s="68">
        <v>22500</v>
      </c>
      <c r="AK33" s="68">
        <v>1000</v>
      </c>
      <c r="AL33" s="10"/>
      <c r="AM33" s="21"/>
      <c r="AN33" s="20"/>
      <c r="AO33" s="10"/>
      <c r="AP33" s="11"/>
      <c r="AQ33" s="24"/>
      <c r="AR33" s="72"/>
      <c r="AT33" s="9">
        <v>5500</v>
      </c>
      <c r="AU33" s="9">
        <v>8000</v>
      </c>
      <c r="AV33" s="9">
        <v>20000</v>
      </c>
      <c r="AW33" s="9">
        <v>2000</v>
      </c>
      <c r="AX33" s="9">
        <v>16000</v>
      </c>
      <c r="AY33" s="9">
        <v>8000</v>
      </c>
      <c r="AZ33" s="9"/>
      <c r="BA33" s="11"/>
      <c r="BB33" s="68">
        <v>4500</v>
      </c>
      <c r="BC33" s="68">
        <v>4570</v>
      </c>
      <c r="BD33" s="10"/>
      <c r="BE33" s="68">
        <v>8500</v>
      </c>
      <c r="BF33" s="68">
        <v>4500</v>
      </c>
      <c r="BG33" s="10"/>
      <c r="BH33" s="21"/>
      <c r="BI33" s="20"/>
      <c r="BJ33" s="10"/>
      <c r="BK33" s="11"/>
      <c r="BL33" s="24"/>
      <c r="BM33" s="72"/>
      <c r="BO33" s="9">
        <v>6000</v>
      </c>
      <c r="BP33" s="9">
        <v>4500</v>
      </c>
      <c r="BQ33" s="9">
        <v>20700</v>
      </c>
      <c r="BR33" s="9">
        <v>2000</v>
      </c>
      <c r="BS33" s="9">
        <v>23500</v>
      </c>
      <c r="BT33" s="9">
        <v>11000</v>
      </c>
      <c r="BU33" s="9"/>
      <c r="BV33" s="9"/>
      <c r="BW33" s="11"/>
      <c r="BX33" s="68">
        <v>15370</v>
      </c>
      <c r="BY33" s="68">
        <v>200</v>
      </c>
      <c r="BZ33" s="10"/>
      <c r="CA33" s="68">
        <v>7100</v>
      </c>
      <c r="CB33" s="68">
        <v>73500</v>
      </c>
      <c r="CC33" s="10"/>
      <c r="CD33" s="21"/>
      <c r="CE33" s="20" t="s">
        <v>164</v>
      </c>
      <c r="CF33" s="10">
        <v>350000</v>
      </c>
      <c r="CG33" s="11"/>
      <c r="CH33" s="24"/>
      <c r="CI33" s="72"/>
      <c r="CJ33" s="24"/>
      <c r="CK33" s="9">
        <v>4000</v>
      </c>
      <c r="CL33" s="9">
        <v>4500</v>
      </c>
      <c r="CM33" s="9">
        <v>5500</v>
      </c>
      <c r="CN33" s="9">
        <v>7500</v>
      </c>
      <c r="CO33" s="9">
        <v>6000</v>
      </c>
      <c r="CP33" s="9"/>
      <c r="CQ33" s="9"/>
      <c r="CR33" s="11"/>
      <c r="CS33" s="68">
        <v>27440</v>
      </c>
      <c r="CT33" s="10"/>
      <c r="CU33" s="10"/>
      <c r="CV33" s="68">
        <v>4000</v>
      </c>
      <c r="CW33" s="68">
        <v>1000</v>
      </c>
      <c r="CX33" s="10"/>
      <c r="CY33" s="21"/>
      <c r="CZ33" s="20"/>
      <c r="DA33" s="10"/>
      <c r="DB33" s="11"/>
      <c r="DC33" s="24"/>
      <c r="DD33" s="72"/>
    </row>
    <row r="34" spans="1:108">
      <c r="A34" s="9">
        <v>40000</v>
      </c>
      <c r="B34" s="9">
        <v>2500</v>
      </c>
      <c r="C34" s="9">
        <v>10000</v>
      </c>
      <c r="D34" s="9">
        <v>26000</v>
      </c>
      <c r="E34" s="9">
        <v>1000</v>
      </c>
      <c r="F34" s="9">
        <v>5500</v>
      </c>
      <c r="G34" s="9">
        <v>3500</v>
      </c>
      <c r="H34" s="9"/>
      <c r="I34" s="11"/>
      <c r="J34" s="68">
        <v>3000</v>
      </c>
      <c r="K34" s="68">
        <v>15000</v>
      </c>
      <c r="L34" s="10"/>
      <c r="M34" s="68">
        <v>1500</v>
      </c>
      <c r="N34" s="68">
        <v>10000</v>
      </c>
      <c r="O34" s="10"/>
      <c r="P34" s="21"/>
      <c r="Q34" s="20"/>
      <c r="R34" s="10"/>
      <c r="S34" s="11"/>
      <c r="T34" s="24"/>
      <c r="U34" s="72"/>
      <c r="V34" s="24"/>
      <c r="W34" s="9">
        <v>6000</v>
      </c>
      <c r="X34" s="9">
        <v>1000</v>
      </c>
      <c r="Y34" s="9">
        <v>4000</v>
      </c>
      <c r="Z34" s="9">
        <v>4000</v>
      </c>
      <c r="AA34" s="9">
        <v>4500</v>
      </c>
      <c r="AB34" s="9"/>
      <c r="AC34" s="9"/>
      <c r="AD34" s="11"/>
      <c r="AE34" s="68">
        <v>380</v>
      </c>
      <c r="AF34" s="68">
        <v>48780</v>
      </c>
      <c r="AG34" s="68">
        <v>5000</v>
      </c>
      <c r="AH34" s="68">
        <v>34000</v>
      </c>
      <c r="AI34" s="10"/>
      <c r="AJ34" s="68">
        <v>3000</v>
      </c>
      <c r="AK34" s="68">
        <v>25000</v>
      </c>
      <c r="AL34" s="10"/>
      <c r="AM34" s="21"/>
      <c r="AN34" s="20"/>
      <c r="AO34" s="10"/>
      <c r="AP34" s="11"/>
      <c r="AQ34" s="24"/>
      <c r="AR34" s="72"/>
      <c r="AT34" s="9">
        <v>3000</v>
      </c>
      <c r="AU34" s="9">
        <v>11000</v>
      </c>
      <c r="AV34" s="9">
        <v>4500</v>
      </c>
      <c r="AW34" s="9">
        <v>5000</v>
      </c>
      <c r="AX34" s="9">
        <v>2500</v>
      </c>
      <c r="AY34" s="9">
        <v>7800</v>
      </c>
      <c r="AZ34" s="9"/>
      <c r="BA34" s="11"/>
      <c r="BB34" s="68">
        <v>8500</v>
      </c>
      <c r="BC34" s="68">
        <v>3470</v>
      </c>
      <c r="BD34" s="10"/>
      <c r="BE34" s="68">
        <v>1000</v>
      </c>
      <c r="BF34" s="68">
        <v>14500</v>
      </c>
      <c r="BG34" s="10"/>
      <c r="BH34" s="21"/>
      <c r="BI34" s="20"/>
      <c r="BJ34" s="10"/>
      <c r="BK34" s="11"/>
      <c r="BL34" s="24"/>
      <c r="BM34" s="72"/>
      <c r="BO34" s="9">
        <v>2500</v>
      </c>
      <c r="BP34" s="9">
        <v>500</v>
      </c>
      <c r="BQ34" s="9">
        <v>3000</v>
      </c>
      <c r="BR34" s="9">
        <v>5000</v>
      </c>
      <c r="BS34" s="9">
        <v>4000</v>
      </c>
      <c r="BT34" s="9">
        <v>1500</v>
      </c>
      <c r="BU34" s="9"/>
      <c r="BV34" s="9"/>
      <c r="BW34" s="11"/>
      <c r="BX34" s="68">
        <v>31300</v>
      </c>
      <c r="BY34" s="68">
        <v>38430</v>
      </c>
      <c r="BZ34" s="10"/>
      <c r="CA34" s="68">
        <v>12000</v>
      </c>
      <c r="CB34" s="68">
        <v>16800</v>
      </c>
      <c r="CC34" s="10"/>
      <c r="CD34" s="21"/>
      <c r="CE34" s="20"/>
      <c r="CF34" s="10"/>
      <c r="CG34" s="11"/>
      <c r="CH34" s="24"/>
      <c r="CI34" s="72"/>
      <c r="CJ34" s="24"/>
      <c r="CK34" s="9">
        <v>5000</v>
      </c>
      <c r="CL34" s="9">
        <v>58000</v>
      </c>
      <c r="CM34" s="9">
        <v>10000</v>
      </c>
      <c r="CN34" s="9">
        <v>12600</v>
      </c>
      <c r="CO34" s="9">
        <v>6000</v>
      </c>
      <c r="CP34" s="9"/>
      <c r="CQ34" s="9"/>
      <c r="CR34" s="11"/>
      <c r="CS34" s="68">
        <v>3360</v>
      </c>
      <c r="CT34" s="10"/>
      <c r="CU34" s="10"/>
      <c r="CV34" s="68">
        <v>9000</v>
      </c>
      <c r="CW34" s="68">
        <v>6000</v>
      </c>
      <c r="CX34" s="10"/>
      <c r="CY34" s="21"/>
      <c r="CZ34" s="20"/>
      <c r="DA34" s="10"/>
      <c r="DB34" s="11"/>
      <c r="DC34" s="24"/>
      <c r="DD34" s="72"/>
    </row>
    <row r="35" spans="1:108">
      <c r="A35" s="9">
        <v>15000</v>
      </c>
      <c r="B35" s="9">
        <v>10500</v>
      </c>
      <c r="C35" s="9">
        <v>12000</v>
      </c>
      <c r="D35" s="9">
        <v>6500</v>
      </c>
      <c r="E35" s="9">
        <v>1000</v>
      </c>
      <c r="F35" s="9">
        <v>4500</v>
      </c>
      <c r="G35" s="9"/>
      <c r="H35" s="9"/>
      <c r="I35" s="11"/>
      <c r="J35" s="68">
        <v>3500</v>
      </c>
      <c r="K35" s="10"/>
      <c r="L35" s="10"/>
      <c r="M35" s="68">
        <v>15800</v>
      </c>
      <c r="N35" s="68">
        <v>17000</v>
      </c>
      <c r="O35" s="10"/>
      <c r="P35" s="21"/>
      <c r="Q35" s="20"/>
      <c r="R35" s="10"/>
      <c r="S35" s="11"/>
      <c r="T35" s="24"/>
      <c r="U35" s="72"/>
      <c r="V35" s="24"/>
      <c r="W35" s="9">
        <v>4500</v>
      </c>
      <c r="X35" s="9">
        <v>3000</v>
      </c>
      <c r="Y35" s="9">
        <v>4500</v>
      </c>
      <c r="Z35" s="9">
        <v>51000</v>
      </c>
      <c r="AA35" s="9">
        <v>2000</v>
      </c>
      <c r="AB35" s="9"/>
      <c r="AC35" s="9"/>
      <c r="AD35" s="11"/>
      <c r="AE35" s="68">
        <v>4500</v>
      </c>
      <c r="AF35" s="68">
        <v>5800</v>
      </c>
      <c r="AG35" s="68">
        <v>3840</v>
      </c>
      <c r="AH35" s="68">
        <v>9800</v>
      </c>
      <c r="AI35" s="10"/>
      <c r="AJ35" s="68">
        <v>5500</v>
      </c>
      <c r="AK35" s="68">
        <v>8500</v>
      </c>
      <c r="AL35" s="10"/>
      <c r="AM35" s="21"/>
      <c r="AN35" s="20"/>
      <c r="AO35" s="10"/>
      <c r="AP35" s="11"/>
      <c r="AQ35" s="24"/>
      <c r="AR35" s="72"/>
      <c r="AT35" s="9">
        <v>14000</v>
      </c>
      <c r="AU35" s="9">
        <v>4200</v>
      </c>
      <c r="AV35" s="9">
        <v>600</v>
      </c>
      <c r="AW35" s="9">
        <v>27000</v>
      </c>
      <c r="AX35" s="9">
        <v>33000</v>
      </c>
      <c r="AY35" s="9">
        <v>7000</v>
      </c>
      <c r="AZ35" s="9"/>
      <c r="BA35" s="11"/>
      <c r="BB35" s="68">
        <v>7690</v>
      </c>
      <c r="BC35" s="68">
        <v>5770</v>
      </c>
      <c r="BD35" s="10"/>
      <c r="BE35" s="68">
        <v>600</v>
      </c>
      <c r="BF35" s="68">
        <v>5100</v>
      </c>
      <c r="BG35" s="10"/>
      <c r="BH35" s="21"/>
      <c r="BI35" s="20"/>
      <c r="BJ35" s="10"/>
      <c r="BK35" s="11"/>
      <c r="BL35" s="24"/>
      <c r="BM35" s="72"/>
      <c r="BO35" s="9">
        <v>22600</v>
      </c>
      <c r="BP35" s="9">
        <v>12000</v>
      </c>
      <c r="BQ35" s="9">
        <v>9000</v>
      </c>
      <c r="BR35" s="9">
        <v>3500</v>
      </c>
      <c r="BS35" s="9">
        <v>1300</v>
      </c>
      <c r="BT35" s="9">
        <v>400</v>
      </c>
      <c r="BU35" s="9"/>
      <c r="BV35" s="9"/>
      <c r="BW35" s="11"/>
      <c r="BX35" s="68">
        <v>8000</v>
      </c>
      <c r="BY35" s="68">
        <v>14000</v>
      </c>
      <c r="BZ35" s="10"/>
      <c r="CA35" s="68">
        <v>5000</v>
      </c>
      <c r="CB35" s="68">
        <v>1600</v>
      </c>
      <c r="CC35" s="10"/>
      <c r="CD35" s="21"/>
      <c r="CE35" s="20"/>
      <c r="CF35" s="10"/>
      <c r="CG35" s="11"/>
      <c r="CH35" s="24"/>
      <c r="CI35" s="72"/>
      <c r="CJ35" s="24"/>
      <c r="CK35" s="9">
        <v>9000</v>
      </c>
      <c r="CL35" s="9">
        <v>2000</v>
      </c>
      <c r="CM35" s="9">
        <v>1500</v>
      </c>
      <c r="CN35" s="9">
        <v>500</v>
      </c>
      <c r="CO35" s="9">
        <v>26000</v>
      </c>
      <c r="CP35" s="9"/>
      <c r="CQ35" s="9"/>
      <c r="CR35" s="11"/>
      <c r="CS35" s="68">
        <v>8650</v>
      </c>
      <c r="CT35" s="10"/>
      <c r="CU35" s="10"/>
      <c r="CV35" s="68">
        <v>700</v>
      </c>
      <c r="CW35" s="68">
        <v>25000</v>
      </c>
      <c r="CX35" s="10"/>
      <c r="CY35" s="21"/>
      <c r="CZ35" s="20"/>
      <c r="DA35" s="10"/>
      <c r="DB35" s="11"/>
      <c r="DC35" s="24"/>
      <c r="DD35" s="72"/>
    </row>
    <row r="36" spans="15:80">
      <c r="O36" s="4"/>
      <c r="BC36" s="35"/>
      <c r="BD36" s="35"/>
      <c r="BE36" s="35"/>
      <c r="BF36" s="36"/>
      <c r="BG36" s="35"/>
      <c r="BH36" s="35"/>
      <c r="BI36" s="35"/>
      <c r="CA36" s="4"/>
      <c r="CB36" s="4"/>
    </row>
  </sheetData>
  <mergeCells count="61">
    <mergeCell ref="J1:O1"/>
    <mergeCell ref="Q1:R1"/>
    <mergeCell ref="AE1:AL1"/>
    <mergeCell ref="AN1:AO1"/>
    <mergeCell ref="BB1:BG1"/>
    <mergeCell ref="BI1:BJ1"/>
    <mergeCell ref="BX1:CC1"/>
    <mergeCell ref="CE1:CF1"/>
    <mergeCell ref="CS1:CX1"/>
    <mergeCell ref="CZ1:DA1"/>
    <mergeCell ref="T1:T2"/>
    <mergeCell ref="T3:T4"/>
    <mergeCell ref="T5:T6"/>
    <mergeCell ref="T7:T8"/>
    <mergeCell ref="U1:U2"/>
    <mergeCell ref="U3:U4"/>
    <mergeCell ref="U5:U6"/>
    <mergeCell ref="U7:U8"/>
    <mergeCell ref="AQ1:AQ2"/>
    <mergeCell ref="AQ3:AQ4"/>
    <mergeCell ref="AQ5:AQ6"/>
    <mergeCell ref="AQ7:AQ8"/>
    <mergeCell ref="AR1:AR2"/>
    <mergeCell ref="AR3:AR4"/>
    <mergeCell ref="AR5:AR6"/>
    <mergeCell ref="AR7:AR8"/>
    <mergeCell ref="BL1:BL2"/>
    <mergeCell ref="BL3:BL4"/>
    <mergeCell ref="BL5:BL6"/>
    <mergeCell ref="BL7:BL8"/>
    <mergeCell ref="BM1:BM2"/>
    <mergeCell ref="BM3:BM4"/>
    <mergeCell ref="BM5:BM6"/>
    <mergeCell ref="BM7:BM8"/>
    <mergeCell ref="CH1:CH2"/>
    <mergeCell ref="CH3:CH4"/>
    <mergeCell ref="CH5:CH6"/>
    <mergeCell ref="CH7:CH8"/>
    <mergeCell ref="CI1:CI2"/>
    <mergeCell ref="CI3:CI4"/>
    <mergeCell ref="CI5:CI6"/>
    <mergeCell ref="CI7:CI8"/>
    <mergeCell ref="DC1:DC2"/>
    <mergeCell ref="DC3:DC4"/>
    <mergeCell ref="DC5:DC6"/>
    <mergeCell ref="DC7:DC8"/>
    <mergeCell ref="DD1:DD2"/>
    <mergeCell ref="DD3:DD4"/>
    <mergeCell ref="DD5:DD6"/>
    <mergeCell ref="DD7:DD8"/>
    <mergeCell ref="DF1:DI2"/>
    <mergeCell ref="DF3:DG4"/>
    <mergeCell ref="DH3:DI4"/>
    <mergeCell ref="DF5:DG6"/>
    <mergeCell ref="DH5:DI6"/>
    <mergeCell ref="DF11:DG12"/>
    <mergeCell ref="DH11:DI12"/>
    <mergeCell ref="DF7:DG8"/>
    <mergeCell ref="DH7:DI8"/>
    <mergeCell ref="DF9:DG10"/>
    <mergeCell ref="DH9:DI10"/>
  </mergeCells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I36"/>
  <sheetViews>
    <sheetView zoomScale="83" zoomScaleNormal="83" topLeftCell="BQ1" workbookViewId="0">
      <selection activeCell="CG2" sqref="CG2"/>
    </sheetView>
  </sheetViews>
  <sheetFormatPr defaultColWidth="11" defaultRowHeight="14.4"/>
  <cols>
    <col min="1" max="8" width="11.712962962963" customWidth="1"/>
    <col min="9" max="9" width="12" customWidth="1"/>
    <col min="10" max="10" width="1.71296296296296" customWidth="1"/>
    <col min="11" max="16" width="11.712962962963" customWidth="1"/>
    <col min="17" max="17" width="13.712962962963" customWidth="1"/>
    <col min="18" max="18" width="1.71296296296296" customWidth="1"/>
    <col min="19" max="20" width="11.712962962963" customWidth="1"/>
    <col min="21" max="21" width="1.71296296296296" customWidth="1"/>
    <col min="22" max="22" width="11.712962962963" customWidth="1"/>
    <col min="23" max="23" width="13.4259259259259" style="67" customWidth="1"/>
    <col min="25" max="25" width="12.4259259259259" customWidth="1"/>
    <col min="26" max="26" width="12" customWidth="1"/>
    <col min="27" max="28" width="11" customWidth="1"/>
    <col min="29" max="29" width="13" customWidth="1"/>
    <col min="30" max="31" width="13.1388888888889" customWidth="1"/>
    <col min="32" max="32" width="12.8518518518519" customWidth="1"/>
    <col min="33" max="33" width="1.71296296296296" customWidth="1"/>
    <col min="34" max="34" width="11.5740740740741" customWidth="1"/>
    <col min="35" max="37" width="12" customWidth="1"/>
    <col min="38" max="38" width="13.712962962963" customWidth="1"/>
    <col min="39" max="39" width="12.1388888888889" customWidth="1"/>
    <col min="40" max="40" width="1.71296296296296" customWidth="1"/>
    <col min="41" max="41" width="10.5740740740741" customWidth="1"/>
    <col min="42" max="42" width="12" customWidth="1"/>
    <col min="43" max="43" width="1.71296296296296" customWidth="1"/>
    <col min="44" max="44" width="11.712962962963" customWidth="1"/>
    <col min="45" max="45" width="15.1388888888889" style="67" customWidth="1"/>
    <col min="47" max="52" width="10.4259259259259" customWidth="1"/>
    <col min="53" max="54" width="11.712962962963" customWidth="1"/>
    <col min="55" max="55" width="1.71296296296296" customWidth="1"/>
    <col min="56" max="56" width="10.4259259259259" customWidth="1"/>
    <col min="57" max="57" width="12" customWidth="1"/>
    <col min="58" max="59" width="11.712962962963" customWidth="1"/>
    <col min="60" max="60" width="10.4259259259259" customWidth="1"/>
    <col min="61" max="61" width="11.712962962963" customWidth="1"/>
    <col min="62" max="62" width="1.71296296296296" customWidth="1"/>
    <col min="63" max="63" width="10.5740740740741" customWidth="1"/>
    <col min="64" max="64" width="12" customWidth="1"/>
    <col min="65" max="65" width="1.71296296296296" customWidth="1"/>
    <col min="66" max="66" width="11.712962962963" customWidth="1"/>
    <col min="67" max="67" width="13.4259259259259" style="67" customWidth="1"/>
    <col min="69" max="76" width="11.712962962963" customWidth="1"/>
    <col min="77" max="77" width="1.71296296296296" customWidth="1"/>
    <col min="78" max="83" width="11.712962962963" customWidth="1"/>
    <col min="84" max="84" width="1.71296296296296" customWidth="1"/>
    <col min="85" max="86" width="11.712962962963" customWidth="1"/>
    <col min="87" max="87" width="1.71296296296296" customWidth="1"/>
    <col min="88" max="88" width="11.712962962963" customWidth="1"/>
    <col min="89" max="89" width="13.4259259259259" style="67" customWidth="1"/>
    <col min="91" max="97" width="11.712962962963" customWidth="1"/>
    <col min="98" max="98" width="1.71296296296296" customWidth="1"/>
    <col min="99" max="102" width="11.712962962963" customWidth="1"/>
    <col min="103" max="103" width="1.71296296296296" customWidth="1"/>
    <col min="104" max="105" width="11.712962962963" customWidth="1"/>
    <col min="106" max="106" width="1.71296296296296" customWidth="1"/>
    <col min="107" max="108" width="11.712962962963" customWidth="1"/>
    <col min="109" max="109" width="9.42592592592593" customWidth="1"/>
    <col min="110" max="110" width="8.28703703703704" customWidth="1"/>
    <col min="111" max="111" width="7.13888888888889" customWidth="1"/>
    <col min="112" max="112" width="6.85185185185185" customWidth="1"/>
    <col min="113" max="113" width="17.5740740740741" customWidth="1"/>
  </cols>
  <sheetData>
    <row r="1" ht="15" customHeight="1" spans="1:113">
      <c r="A1" s="9">
        <v>1500</v>
      </c>
      <c r="B1" s="10">
        <v>4500</v>
      </c>
      <c r="C1" s="10">
        <v>3000</v>
      </c>
      <c r="D1" s="10">
        <v>3500</v>
      </c>
      <c r="E1" s="10">
        <v>2400</v>
      </c>
      <c r="F1" s="10">
        <v>12000</v>
      </c>
      <c r="G1" s="10">
        <v>302400</v>
      </c>
      <c r="H1" s="10">
        <v>2400</v>
      </c>
      <c r="I1" s="10">
        <v>3000</v>
      </c>
      <c r="J1" s="11"/>
      <c r="K1" s="13" t="s">
        <v>0</v>
      </c>
      <c r="L1" s="14"/>
      <c r="M1" s="14"/>
      <c r="N1" s="14"/>
      <c r="O1" s="14"/>
      <c r="P1" s="14"/>
      <c r="Q1" s="15"/>
      <c r="R1" s="11"/>
      <c r="S1" s="16" t="s">
        <v>1</v>
      </c>
      <c r="T1" s="17"/>
      <c r="U1" s="11"/>
      <c r="V1" s="22" t="s">
        <v>2</v>
      </c>
      <c r="W1" s="69"/>
      <c r="X1" s="24"/>
      <c r="Y1" s="10">
        <v>9200</v>
      </c>
      <c r="Z1" s="10">
        <v>3500</v>
      </c>
      <c r="AA1" s="10">
        <v>9500</v>
      </c>
      <c r="AB1" s="10">
        <v>2000</v>
      </c>
      <c r="AC1" s="10">
        <v>4500</v>
      </c>
      <c r="AD1" s="10">
        <v>1000</v>
      </c>
      <c r="AE1" s="10">
        <v>5300</v>
      </c>
      <c r="AF1" s="10"/>
      <c r="AG1" s="11"/>
      <c r="AH1" s="13" t="s">
        <v>0</v>
      </c>
      <c r="AI1" s="14"/>
      <c r="AJ1" s="14"/>
      <c r="AK1" s="14"/>
      <c r="AL1" s="14"/>
      <c r="AM1" s="15"/>
      <c r="AN1" s="11"/>
      <c r="AO1" s="16" t="s">
        <v>1</v>
      </c>
      <c r="AP1" s="17"/>
      <c r="AQ1" s="11"/>
      <c r="AR1" s="22" t="s">
        <v>2</v>
      </c>
      <c r="AS1" s="69"/>
      <c r="AU1" s="10">
        <v>9500</v>
      </c>
      <c r="AV1" s="10">
        <v>500</v>
      </c>
      <c r="AW1" s="10">
        <v>1000</v>
      </c>
      <c r="AX1" s="10">
        <v>2000</v>
      </c>
      <c r="AY1" s="10">
        <v>67200</v>
      </c>
      <c r="AZ1" s="10">
        <v>1000</v>
      </c>
      <c r="BA1" s="10">
        <v>8000</v>
      </c>
      <c r="BB1" s="10"/>
      <c r="BC1" s="11"/>
      <c r="BD1" s="13" t="s">
        <v>0</v>
      </c>
      <c r="BE1" s="14"/>
      <c r="BF1" s="14"/>
      <c r="BG1" s="14"/>
      <c r="BH1" s="14"/>
      <c r="BI1" s="15"/>
      <c r="BJ1" s="11"/>
      <c r="BK1" s="16" t="s">
        <v>1</v>
      </c>
      <c r="BL1" s="17"/>
      <c r="BM1" s="11"/>
      <c r="BN1" s="22" t="s">
        <v>2</v>
      </c>
      <c r="BO1" s="69"/>
      <c r="BQ1" s="10">
        <v>500</v>
      </c>
      <c r="BR1" s="10">
        <v>6500</v>
      </c>
      <c r="BS1" s="10">
        <v>600</v>
      </c>
      <c r="BT1" s="10">
        <v>1200</v>
      </c>
      <c r="BU1" s="10">
        <v>10000</v>
      </c>
      <c r="BV1" s="10">
        <v>6000</v>
      </c>
      <c r="BW1" s="10">
        <v>3000</v>
      </c>
      <c r="BX1" s="10">
        <v>2500</v>
      </c>
      <c r="BY1" s="11"/>
      <c r="BZ1" s="13" t="s">
        <v>0</v>
      </c>
      <c r="CA1" s="14"/>
      <c r="CB1" s="14"/>
      <c r="CC1" s="14"/>
      <c r="CD1" s="14"/>
      <c r="CE1" s="15"/>
      <c r="CF1" s="11"/>
      <c r="CG1" s="16" t="s">
        <v>1</v>
      </c>
      <c r="CH1" s="17"/>
      <c r="CI1" s="11"/>
      <c r="CJ1" s="22" t="s">
        <v>2</v>
      </c>
      <c r="CK1" s="69"/>
      <c r="CM1" s="10"/>
      <c r="CN1" s="10"/>
      <c r="CO1" s="10"/>
      <c r="CP1" s="10"/>
      <c r="CQ1" s="10"/>
      <c r="CR1" s="10"/>
      <c r="CS1" s="10"/>
      <c r="CT1" s="11"/>
      <c r="CU1" s="13" t="s">
        <v>0</v>
      </c>
      <c r="CV1" s="14"/>
      <c r="CW1" s="14"/>
      <c r="CX1" s="15"/>
      <c r="CY1" s="11"/>
      <c r="CZ1" s="16" t="s">
        <v>1</v>
      </c>
      <c r="DA1" s="17"/>
      <c r="DB1" s="11"/>
      <c r="DC1" s="22" t="s">
        <v>2</v>
      </c>
      <c r="DD1" s="23"/>
      <c r="DF1" s="37" t="s">
        <v>3</v>
      </c>
      <c r="DG1" s="45"/>
      <c r="DH1" s="45"/>
      <c r="DI1" s="46"/>
    </row>
    <row r="2" ht="15" customHeight="1" spans="1:113">
      <c r="A2" s="9">
        <v>1600</v>
      </c>
      <c r="B2" s="12">
        <v>20500</v>
      </c>
      <c r="C2" s="12">
        <v>500</v>
      </c>
      <c r="D2" s="12">
        <v>3500</v>
      </c>
      <c r="E2" s="12">
        <v>7500</v>
      </c>
      <c r="F2" s="12">
        <v>3000</v>
      </c>
      <c r="G2" s="12">
        <v>7500</v>
      </c>
      <c r="H2" s="12">
        <v>13000</v>
      </c>
      <c r="I2" s="12">
        <v>3500</v>
      </c>
      <c r="J2" s="11"/>
      <c r="K2" s="68">
        <v>36500</v>
      </c>
      <c r="L2" s="68">
        <v>7920</v>
      </c>
      <c r="M2" s="68">
        <v>310680</v>
      </c>
      <c r="N2" s="68">
        <v>41700</v>
      </c>
      <c r="O2" s="68">
        <v>500</v>
      </c>
      <c r="P2" s="68">
        <v>25000</v>
      </c>
      <c r="Q2" s="68">
        <v>1023750</v>
      </c>
      <c r="R2" s="11"/>
      <c r="S2" s="20" t="s">
        <v>165</v>
      </c>
      <c r="T2" s="10">
        <v>855000</v>
      </c>
      <c r="U2" s="11"/>
      <c r="V2" s="25"/>
      <c r="W2" s="70"/>
      <c r="X2" s="24"/>
      <c r="Y2" s="12">
        <v>2000</v>
      </c>
      <c r="Z2" s="12">
        <v>8500</v>
      </c>
      <c r="AA2" s="12">
        <v>6000</v>
      </c>
      <c r="AB2" s="12">
        <v>4500</v>
      </c>
      <c r="AC2" s="12">
        <v>12000</v>
      </c>
      <c r="AD2" s="12">
        <v>2000</v>
      </c>
      <c r="AE2" s="12">
        <v>8000</v>
      </c>
      <c r="AF2" s="12"/>
      <c r="AG2" s="11"/>
      <c r="AH2" s="68">
        <v>5500</v>
      </c>
      <c r="AI2" s="68">
        <v>5100</v>
      </c>
      <c r="AJ2" s="68">
        <v>10240</v>
      </c>
      <c r="AK2" s="10">
        <v>2500</v>
      </c>
      <c r="AL2" s="10">
        <v>3000</v>
      </c>
      <c r="AM2" s="10">
        <v>677600</v>
      </c>
      <c r="AN2" s="11"/>
      <c r="AO2" s="20" t="s">
        <v>7</v>
      </c>
      <c r="AP2" s="10">
        <v>14000</v>
      </c>
      <c r="AQ2" s="11"/>
      <c r="AR2" s="25"/>
      <c r="AS2" s="70"/>
      <c r="AU2" s="12">
        <v>2000</v>
      </c>
      <c r="AV2" s="12">
        <v>2000</v>
      </c>
      <c r="AW2" s="12">
        <v>2500</v>
      </c>
      <c r="AX2" s="12">
        <v>8000</v>
      </c>
      <c r="AY2" s="12">
        <v>43000</v>
      </c>
      <c r="AZ2" s="12">
        <v>3000</v>
      </c>
      <c r="BA2" s="12">
        <v>2500</v>
      </c>
      <c r="BB2" s="12"/>
      <c r="BC2" s="11"/>
      <c r="BD2" s="68">
        <v>5000</v>
      </c>
      <c r="BE2" s="68">
        <v>752000</v>
      </c>
      <c r="BF2" s="68">
        <v>21500</v>
      </c>
      <c r="BG2" s="68">
        <v>12000</v>
      </c>
      <c r="BH2" s="68">
        <v>5500</v>
      </c>
      <c r="BI2" s="68">
        <v>1100</v>
      </c>
      <c r="BJ2" s="11"/>
      <c r="BK2" s="20" t="s">
        <v>41</v>
      </c>
      <c r="BL2" s="10">
        <v>323000</v>
      </c>
      <c r="BM2" s="11"/>
      <c r="BN2" s="25"/>
      <c r="BO2" s="70"/>
      <c r="BQ2" s="12">
        <v>12000</v>
      </c>
      <c r="BR2" s="12">
        <v>3000</v>
      </c>
      <c r="BS2" s="12">
        <v>4000</v>
      </c>
      <c r="BT2" s="12">
        <v>9200</v>
      </c>
      <c r="BU2" s="12">
        <v>2000</v>
      </c>
      <c r="BV2" s="12">
        <v>30000</v>
      </c>
      <c r="BW2" s="12">
        <v>2000</v>
      </c>
      <c r="BX2" s="12">
        <v>2000</v>
      </c>
      <c r="BY2" s="11"/>
      <c r="BZ2" s="68">
        <v>18060</v>
      </c>
      <c r="CA2" s="68">
        <v>4500</v>
      </c>
      <c r="CB2" s="68">
        <v>24760</v>
      </c>
      <c r="CC2" s="68">
        <v>2500</v>
      </c>
      <c r="CD2" s="68">
        <v>7000</v>
      </c>
      <c r="CE2" s="68">
        <v>265750</v>
      </c>
      <c r="CF2" s="11"/>
      <c r="CG2" s="20" t="s">
        <v>37</v>
      </c>
      <c r="CH2" s="10">
        <v>628610</v>
      </c>
      <c r="CI2" s="11"/>
      <c r="CJ2" s="25"/>
      <c r="CK2" s="70"/>
      <c r="CM2" s="12"/>
      <c r="CN2" s="12"/>
      <c r="CO2" s="12"/>
      <c r="CP2" s="12"/>
      <c r="CQ2" s="12"/>
      <c r="CR2" s="12"/>
      <c r="CS2" s="12"/>
      <c r="CT2" s="11"/>
      <c r="CU2" s="10"/>
      <c r="CV2" s="10"/>
      <c r="CW2" s="10"/>
      <c r="CX2" s="10"/>
      <c r="CY2" s="11"/>
      <c r="CZ2" s="18"/>
      <c r="DA2" s="10"/>
      <c r="DB2" s="11"/>
      <c r="DC2" s="25"/>
      <c r="DD2" s="26"/>
      <c r="DF2" s="38"/>
      <c r="DG2" s="47"/>
      <c r="DH2" s="47"/>
      <c r="DI2" s="48"/>
    </row>
    <row r="3" ht="15" customHeight="1" spans="1:113">
      <c r="A3" s="9">
        <v>45000</v>
      </c>
      <c r="B3" s="9">
        <v>5000</v>
      </c>
      <c r="C3" s="9">
        <v>7000</v>
      </c>
      <c r="D3" s="9">
        <v>18000</v>
      </c>
      <c r="E3" s="9">
        <v>5000</v>
      </c>
      <c r="F3" s="9">
        <v>2000</v>
      </c>
      <c r="G3" s="9">
        <v>3300</v>
      </c>
      <c r="H3" s="9">
        <v>10000</v>
      </c>
      <c r="I3" s="9">
        <v>1500</v>
      </c>
      <c r="J3" s="11"/>
      <c r="K3" s="68">
        <v>17000</v>
      </c>
      <c r="L3" s="68">
        <v>5500</v>
      </c>
      <c r="M3" s="68">
        <v>12000</v>
      </c>
      <c r="N3" s="68">
        <v>30490</v>
      </c>
      <c r="O3" s="68">
        <v>5000</v>
      </c>
      <c r="P3" s="68">
        <v>12000</v>
      </c>
      <c r="Q3" s="68">
        <v>5500</v>
      </c>
      <c r="R3" s="19"/>
      <c r="S3" s="20" t="s">
        <v>5</v>
      </c>
      <c r="T3" s="10">
        <v>350530</v>
      </c>
      <c r="U3" s="11">
        <v>1</v>
      </c>
      <c r="V3" s="27" t="s">
        <v>9</v>
      </c>
      <c r="W3" s="69">
        <f>SUM(A1:J35)</f>
        <v>3017200</v>
      </c>
      <c r="X3" s="24"/>
      <c r="Y3" s="9">
        <v>6000</v>
      </c>
      <c r="Z3" s="9">
        <v>12000</v>
      </c>
      <c r="AA3" s="9">
        <v>29000</v>
      </c>
      <c r="AB3" s="9">
        <v>800</v>
      </c>
      <c r="AC3" s="9">
        <v>4800</v>
      </c>
      <c r="AD3" s="9">
        <v>12000</v>
      </c>
      <c r="AE3" s="9">
        <v>20000</v>
      </c>
      <c r="AF3" s="9"/>
      <c r="AG3" s="11"/>
      <c r="AH3" s="68">
        <v>6000</v>
      </c>
      <c r="AI3" s="68">
        <v>2030</v>
      </c>
      <c r="AJ3" s="68">
        <v>50000</v>
      </c>
      <c r="AK3" s="68">
        <v>6800</v>
      </c>
      <c r="AL3" s="68">
        <v>5300</v>
      </c>
      <c r="AM3" s="68">
        <v>15000</v>
      </c>
      <c r="AN3" s="19"/>
      <c r="AO3" s="20" t="s">
        <v>38</v>
      </c>
      <c r="AP3" s="10">
        <v>71500</v>
      </c>
      <c r="AQ3" s="11">
        <v>1</v>
      </c>
      <c r="AR3" s="27" t="s">
        <v>9</v>
      </c>
      <c r="AS3" s="69">
        <f>SUM(Y1:AG35)</f>
        <v>2101400</v>
      </c>
      <c r="AU3" s="9">
        <v>5000</v>
      </c>
      <c r="AV3" s="9">
        <v>3000</v>
      </c>
      <c r="AW3" s="9">
        <v>3000</v>
      </c>
      <c r="AX3" s="9">
        <v>5000</v>
      </c>
      <c r="AY3" s="9">
        <v>5900</v>
      </c>
      <c r="AZ3" s="9">
        <v>5500</v>
      </c>
      <c r="BA3" s="9">
        <v>1000</v>
      </c>
      <c r="BB3" s="9"/>
      <c r="BC3" s="11"/>
      <c r="BD3" s="68">
        <v>70830</v>
      </c>
      <c r="BE3" s="68">
        <v>13200</v>
      </c>
      <c r="BF3" s="68">
        <v>6000</v>
      </c>
      <c r="BG3" s="68">
        <v>10000</v>
      </c>
      <c r="BH3" s="68">
        <v>10000</v>
      </c>
      <c r="BI3" s="68">
        <v>3500</v>
      </c>
      <c r="BJ3" s="19"/>
      <c r="BK3" s="20" t="s">
        <v>18</v>
      </c>
      <c r="BL3" s="10">
        <v>956500</v>
      </c>
      <c r="BM3" s="11">
        <v>1</v>
      </c>
      <c r="BN3" s="27" t="s">
        <v>9</v>
      </c>
      <c r="BO3" s="69">
        <f>SUM(AU1:BC35)</f>
        <v>2042120</v>
      </c>
      <c r="BQ3" s="9">
        <v>7500</v>
      </c>
      <c r="BR3" s="9">
        <v>3500</v>
      </c>
      <c r="BS3" s="9">
        <v>5000</v>
      </c>
      <c r="BT3" s="9">
        <v>500</v>
      </c>
      <c r="BU3" s="9">
        <v>4000</v>
      </c>
      <c r="BV3" s="9">
        <v>2500</v>
      </c>
      <c r="BW3" s="9">
        <v>1500</v>
      </c>
      <c r="BX3" s="9">
        <v>10000</v>
      </c>
      <c r="BY3" s="11"/>
      <c r="BZ3" s="68">
        <v>18400</v>
      </c>
      <c r="CA3" s="68">
        <v>42500</v>
      </c>
      <c r="CB3" s="68">
        <v>15000</v>
      </c>
      <c r="CC3" s="68">
        <v>4500</v>
      </c>
      <c r="CD3" s="68">
        <v>7000</v>
      </c>
      <c r="CE3" s="68">
        <v>4500</v>
      </c>
      <c r="CF3" s="19"/>
      <c r="CG3" s="20" t="s">
        <v>123</v>
      </c>
      <c r="CH3" s="10">
        <v>58600</v>
      </c>
      <c r="CI3" s="11">
        <v>1</v>
      </c>
      <c r="CJ3" s="27" t="s">
        <v>9</v>
      </c>
      <c r="CK3" s="69">
        <f>SUM(BQ1:BY35)</f>
        <v>2466050</v>
      </c>
      <c r="CM3" s="9"/>
      <c r="CN3" s="9"/>
      <c r="CO3" s="9"/>
      <c r="CP3" s="9"/>
      <c r="CQ3" s="9"/>
      <c r="CR3" s="9"/>
      <c r="CS3" s="9"/>
      <c r="CT3" s="11"/>
      <c r="CU3" s="10"/>
      <c r="CV3" s="10"/>
      <c r="CW3" s="10"/>
      <c r="CX3" s="10"/>
      <c r="CY3" s="19"/>
      <c r="CZ3" s="20"/>
      <c r="DA3" s="10"/>
      <c r="DB3" s="11">
        <v>1</v>
      </c>
      <c r="DC3" s="27" t="s">
        <v>9</v>
      </c>
      <c r="DD3" s="23">
        <f>SUM(CM1:CT35)</f>
        <v>0</v>
      </c>
      <c r="DF3" s="39" t="s">
        <v>9</v>
      </c>
      <c r="DG3" s="49"/>
      <c r="DH3" s="50">
        <f>SUM(W3,AS3,BO3,CK3,DD3)</f>
        <v>9626770</v>
      </c>
      <c r="DI3" s="51"/>
    </row>
    <row r="4" ht="15" customHeight="1" spans="1:113">
      <c r="A4" s="9">
        <v>1000</v>
      </c>
      <c r="B4" s="9">
        <v>7500</v>
      </c>
      <c r="C4" s="9">
        <v>2000</v>
      </c>
      <c r="D4" s="9">
        <v>4500</v>
      </c>
      <c r="E4" s="9">
        <v>700</v>
      </c>
      <c r="F4" s="9">
        <v>12000</v>
      </c>
      <c r="G4" s="9">
        <v>4500</v>
      </c>
      <c r="H4" s="9">
        <v>5500</v>
      </c>
      <c r="I4" s="9">
        <v>6000</v>
      </c>
      <c r="J4" s="11"/>
      <c r="K4" s="68">
        <v>4500</v>
      </c>
      <c r="L4" s="68">
        <v>2900</v>
      </c>
      <c r="M4" s="68">
        <v>6720</v>
      </c>
      <c r="N4" s="68">
        <v>4000</v>
      </c>
      <c r="O4" s="68">
        <v>1500</v>
      </c>
      <c r="P4" s="68">
        <v>5500</v>
      </c>
      <c r="Q4" s="68">
        <v>4000</v>
      </c>
      <c r="R4" s="19"/>
      <c r="S4" s="20" t="s">
        <v>166</v>
      </c>
      <c r="T4" s="10">
        <v>17500</v>
      </c>
      <c r="U4" s="11"/>
      <c r="V4" s="28"/>
      <c r="W4" s="70"/>
      <c r="X4" s="24"/>
      <c r="Y4" s="9">
        <v>2500</v>
      </c>
      <c r="Z4" s="9">
        <v>500</v>
      </c>
      <c r="AA4" s="9">
        <v>4000</v>
      </c>
      <c r="AB4" s="9">
        <v>500</v>
      </c>
      <c r="AC4" s="9">
        <v>2000</v>
      </c>
      <c r="AD4" s="9">
        <v>10300</v>
      </c>
      <c r="AE4" s="9">
        <v>600</v>
      </c>
      <c r="AF4" s="9"/>
      <c r="AG4" s="11"/>
      <c r="AH4" s="68">
        <v>1730</v>
      </c>
      <c r="AI4" s="68">
        <v>34500</v>
      </c>
      <c r="AJ4" s="68">
        <v>21710</v>
      </c>
      <c r="AK4" s="68">
        <v>1500</v>
      </c>
      <c r="AL4" s="68">
        <v>2500</v>
      </c>
      <c r="AM4" s="68">
        <v>2500</v>
      </c>
      <c r="AN4" s="19"/>
      <c r="AO4" s="20" t="s">
        <v>52</v>
      </c>
      <c r="AP4" s="10">
        <v>55770</v>
      </c>
      <c r="AQ4" s="11"/>
      <c r="AR4" s="28"/>
      <c r="AS4" s="70"/>
      <c r="AU4" s="9">
        <v>18500</v>
      </c>
      <c r="AV4" s="9">
        <v>6500</v>
      </c>
      <c r="AW4" s="9">
        <v>3500</v>
      </c>
      <c r="AX4" s="9">
        <v>6000</v>
      </c>
      <c r="AY4" s="9">
        <v>3700</v>
      </c>
      <c r="AZ4" s="9">
        <v>1500</v>
      </c>
      <c r="BA4" s="9">
        <v>8000</v>
      </c>
      <c r="BB4" s="9"/>
      <c r="BC4" s="11"/>
      <c r="BD4" s="68">
        <v>4230</v>
      </c>
      <c r="BE4" s="68">
        <v>2500</v>
      </c>
      <c r="BF4" s="68">
        <v>4500</v>
      </c>
      <c r="BG4" s="68">
        <v>11000</v>
      </c>
      <c r="BH4" s="68">
        <v>4500</v>
      </c>
      <c r="BI4" s="68">
        <v>4800</v>
      </c>
      <c r="BJ4" s="19"/>
      <c r="BK4" s="20" t="s">
        <v>6</v>
      </c>
      <c r="BL4" s="10">
        <v>400000</v>
      </c>
      <c r="BM4" s="11"/>
      <c r="BN4" s="28"/>
      <c r="BO4" s="70"/>
      <c r="BQ4" s="9">
        <v>7500</v>
      </c>
      <c r="BR4" s="9">
        <v>1000</v>
      </c>
      <c r="BS4" s="9">
        <v>6500</v>
      </c>
      <c r="BT4" s="9">
        <v>10500</v>
      </c>
      <c r="BU4" s="9">
        <v>3000</v>
      </c>
      <c r="BV4" s="9">
        <v>4500</v>
      </c>
      <c r="BW4" s="9">
        <v>8500</v>
      </c>
      <c r="BX4" s="9">
        <v>3500</v>
      </c>
      <c r="BY4" s="11"/>
      <c r="BZ4" s="68">
        <v>8640</v>
      </c>
      <c r="CA4" s="68">
        <v>12470</v>
      </c>
      <c r="CB4" s="68">
        <v>3900</v>
      </c>
      <c r="CC4" s="68">
        <v>6000</v>
      </c>
      <c r="CD4" s="68">
        <v>4500</v>
      </c>
      <c r="CE4" s="68">
        <v>18000</v>
      </c>
      <c r="CF4" s="19"/>
      <c r="CG4" s="20" t="s">
        <v>14</v>
      </c>
      <c r="CH4" s="10">
        <v>785300</v>
      </c>
      <c r="CI4" s="11"/>
      <c r="CJ4" s="28"/>
      <c r="CK4" s="70"/>
      <c r="CM4" s="9"/>
      <c r="CN4" s="9"/>
      <c r="CO4" s="9"/>
      <c r="CP4" s="9"/>
      <c r="CQ4" s="9"/>
      <c r="CR4" s="9"/>
      <c r="CS4" s="9"/>
      <c r="CT4" s="11"/>
      <c r="CU4" s="10"/>
      <c r="CV4" s="10"/>
      <c r="CW4" s="10"/>
      <c r="CX4" s="10"/>
      <c r="CY4" s="19"/>
      <c r="CZ4" s="20"/>
      <c r="DA4" s="10"/>
      <c r="DB4" s="11"/>
      <c r="DC4" s="28"/>
      <c r="DD4" s="26"/>
      <c r="DF4" s="40"/>
      <c r="DG4" s="52"/>
      <c r="DH4" s="53"/>
      <c r="DI4" s="54"/>
    </row>
    <row r="5" ht="15" customHeight="1" spans="1:113">
      <c r="A5" s="9">
        <v>1000</v>
      </c>
      <c r="B5" s="9">
        <v>26500</v>
      </c>
      <c r="C5" s="9">
        <v>3500</v>
      </c>
      <c r="D5" s="9">
        <v>14000</v>
      </c>
      <c r="E5" s="9">
        <v>3000</v>
      </c>
      <c r="F5" s="9">
        <v>6000</v>
      </c>
      <c r="G5" s="9">
        <v>3000</v>
      </c>
      <c r="H5" s="9">
        <v>10000</v>
      </c>
      <c r="I5" s="9">
        <v>2500</v>
      </c>
      <c r="J5" s="11"/>
      <c r="K5" s="68">
        <v>1920</v>
      </c>
      <c r="L5" s="68">
        <v>9120</v>
      </c>
      <c r="M5" s="68">
        <v>4000</v>
      </c>
      <c r="N5" s="68">
        <v>800</v>
      </c>
      <c r="O5" s="68">
        <v>49000</v>
      </c>
      <c r="P5" s="68">
        <v>500</v>
      </c>
      <c r="Q5" s="68">
        <v>3500</v>
      </c>
      <c r="R5" s="19"/>
      <c r="S5" s="20" t="s">
        <v>166</v>
      </c>
      <c r="T5" s="10">
        <v>32500</v>
      </c>
      <c r="U5" s="11"/>
      <c r="V5" s="27" t="s">
        <v>17</v>
      </c>
      <c r="W5" s="69">
        <f>SUM(K2:Q35)</f>
        <v>3811070</v>
      </c>
      <c r="X5" s="24"/>
      <c r="Y5" s="9">
        <v>3000</v>
      </c>
      <c r="Z5" s="9">
        <v>88000</v>
      </c>
      <c r="AA5" s="9">
        <v>15500</v>
      </c>
      <c r="AB5" s="9">
        <v>4500</v>
      </c>
      <c r="AC5" s="9">
        <v>4800</v>
      </c>
      <c r="AD5" s="9">
        <v>4000</v>
      </c>
      <c r="AE5" s="9">
        <v>10500</v>
      </c>
      <c r="AF5" s="9"/>
      <c r="AG5" s="11"/>
      <c r="AH5" s="68">
        <v>5500</v>
      </c>
      <c r="AI5" s="68">
        <v>600</v>
      </c>
      <c r="AJ5" s="68">
        <v>7430</v>
      </c>
      <c r="AK5" s="68">
        <v>18000</v>
      </c>
      <c r="AL5" s="68">
        <v>5000</v>
      </c>
      <c r="AM5" s="68">
        <v>900</v>
      </c>
      <c r="AN5" s="19"/>
      <c r="AO5" s="20" t="s">
        <v>151</v>
      </c>
      <c r="AP5" s="10">
        <v>32500</v>
      </c>
      <c r="AQ5" s="11"/>
      <c r="AR5" s="27" t="s">
        <v>17</v>
      </c>
      <c r="AS5" s="69">
        <f>SUM(AH2:AM35)</f>
        <v>2811810</v>
      </c>
      <c r="AU5" s="9">
        <v>3000</v>
      </c>
      <c r="AV5" s="9">
        <v>1000</v>
      </c>
      <c r="AW5" s="9">
        <v>2400</v>
      </c>
      <c r="AX5" s="9">
        <v>27000</v>
      </c>
      <c r="AY5" s="9">
        <v>5000</v>
      </c>
      <c r="AZ5" s="9">
        <v>1000</v>
      </c>
      <c r="BA5" s="9">
        <v>9000</v>
      </c>
      <c r="BB5" s="9"/>
      <c r="BC5" s="11"/>
      <c r="BD5" s="68">
        <v>2500</v>
      </c>
      <c r="BE5" s="68">
        <v>23500</v>
      </c>
      <c r="BF5" s="68">
        <v>6500</v>
      </c>
      <c r="BG5" s="68">
        <v>12000</v>
      </c>
      <c r="BH5" s="68">
        <v>2500</v>
      </c>
      <c r="BI5" s="68">
        <v>6500</v>
      </c>
      <c r="BJ5" s="19"/>
      <c r="BK5" s="20" t="s">
        <v>34</v>
      </c>
      <c r="BL5" s="10">
        <v>15000</v>
      </c>
      <c r="BM5" s="11"/>
      <c r="BN5" s="27" t="s">
        <v>17</v>
      </c>
      <c r="BO5" s="69">
        <f>SUM(BD2:BI35)</f>
        <v>2501710</v>
      </c>
      <c r="BQ5" s="9">
        <v>5500</v>
      </c>
      <c r="BR5" s="9">
        <v>3100</v>
      </c>
      <c r="BS5" s="9">
        <v>3000</v>
      </c>
      <c r="BT5" s="9">
        <v>60000</v>
      </c>
      <c r="BU5" s="9">
        <v>96500</v>
      </c>
      <c r="BV5" s="9">
        <v>1500</v>
      </c>
      <c r="BW5" s="9">
        <v>46000</v>
      </c>
      <c r="BX5" s="9">
        <v>4000</v>
      </c>
      <c r="BY5" s="11"/>
      <c r="BZ5" s="68">
        <v>15000</v>
      </c>
      <c r="CA5" s="68">
        <v>1440</v>
      </c>
      <c r="CB5" s="68">
        <v>59180</v>
      </c>
      <c r="CC5" s="68">
        <v>10000</v>
      </c>
      <c r="CD5" s="68">
        <v>32000</v>
      </c>
      <c r="CE5" s="68">
        <v>8500</v>
      </c>
      <c r="CF5" s="19"/>
      <c r="CG5" s="20" t="s">
        <v>14</v>
      </c>
      <c r="CH5" s="10">
        <v>742340</v>
      </c>
      <c r="CI5" s="11"/>
      <c r="CJ5" s="27" t="s">
        <v>17</v>
      </c>
      <c r="CK5" s="69">
        <f>SUM(BZ2:CE35)</f>
        <v>2937090</v>
      </c>
      <c r="CM5" s="9"/>
      <c r="CN5" s="9"/>
      <c r="CO5" s="9"/>
      <c r="CP5" s="9"/>
      <c r="CQ5" s="9"/>
      <c r="CR5" s="9"/>
      <c r="CS5" s="9"/>
      <c r="CT5" s="11"/>
      <c r="CU5" s="10"/>
      <c r="CV5" s="10"/>
      <c r="CW5" s="10"/>
      <c r="CX5" s="10"/>
      <c r="CY5" s="19"/>
      <c r="CZ5" s="20"/>
      <c r="DA5" s="10"/>
      <c r="DB5" s="11"/>
      <c r="DC5" s="27" t="s">
        <v>17</v>
      </c>
      <c r="DD5" s="23">
        <f>SUM(CU2:CX35)</f>
        <v>0</v>
      </c>
      <c r="DF5" s="39" t="s">
        <v>17</v>
      </c>
      <c r="DG5" s="49"/>
      <c r="DH5" s="50">
        <f>SUM(W5,AS5,BO5,CK5,DD5)</f>
        <v>12061680</v>
      </c>
      <c r="DI5" s="51"/>
    </row>
    <row r="6" ht="15" customHeight="1" spans="1:113">
      <c r="A6" s="9">
        <v>2000</v>
      </c>
      <c r="B6" s="9">
        <v>2500</v>
      </c>
      <c r="C6" s="9">
        <v>2500</v>
      </c>
      <c r="D6" s="9">
        <v>4000</v>
      </c>
      <c r="E6" s="9">
        <v>3500</v>
      </c>
      <c r="F6" s="9">
        <v>3500</v>
      </c>
      <c r="G6" s="9">
        <v>4000</v>
      </c>
      <c r="H6" s="9">
        <v>1500</v>
      </c>
      <c r="I6" s="9">
        <v>2500</v>
      </c>
      <c r="J6" s="11"/>
      <c r="K6" s="68">
        <v>1600</v>
      </c>
      <c r="L6" s="68">
        <v>7000</v>
      </c>
      <c r="M6" s="68">
        <v>9000</v>
      </c>
      <c r="N6" s="68">
        <v>800</v>
      </c>
      <c r="O6" s="68">
        <v>14500</v>
      </c>
      <c r="P6" s="68">
        <v>32900</v>
      </c>
      <c r="Q6" s="68">
        <v>4000</v>
      </c>
      <c r="R6" s="19"/>
      <c r="S6" s="20" t="s">
        <v>34</v>
      </c>
      <c r="T6" s="10">
        <v>80000</v>
      </c>
      <c r="U6" s="11"/>
      <c r="V6" s="28"/>
      <c r="W6" s="70"/>
      <c r="X6" s="24"/>
      <c r="Y6" s="9">
        <v>300</v>
      </c>
      <c r="Z6" s="9">
        <v>5000</v>
      </c>
      <c r="AA6" s="9">
        <v>14000</v>
      </c>
      <c r="AB6" s="9">
        <v>14300</v>
      </c>
      <c r="AC6" s="9">
        <v>1500</v>
      </c>
      <c r="AD6" s="9">
        <v>1000</v>
      </c>
      <c r="AE6" s="9">
        <v>3000</v>
      </c>
      <c r="AF6" s="9"/>
      <c r="AG6" s="11"/>
      <c r="AH6" s="68">
        <v>1500</v>
      </c>
      <c r="AI6" s="68">
        <v>2500</v>
      </c>
      <c r="AJ6" s="68">
        <v>21290</v>
      </c>
      <c r="AK6" s="68">
        <v>4500</v>
      </c>
      <c r="AL6" s="68">
        <v>5000</v>
      </c>
      <c r="AM6" s="68">
        <v>2000</v>
      </c>
      <c r="AN6" s="19"/>
      <c r="AO6" s="20" t="s">
        <v>14</v>
      </c>
      <c r="AP6" s="10">
        <v>89000</v>
      </c>
      <c r="AQ6" s="11"/>
      <c r="AR6" s="28"/>
      <c r="AS6" s="70"/>
      <c r="AU6" s="9">
        <v>1000</v>
      </c>
      <c r="AV6" s="9">
        <v>8500</v>
      </c>
      <c r="AW6" s="9">
        <v>55000</v>
      </c>
      <c r="AX6" s="9">
        <v>3800</v>
      </c>
      <c r="AY6" s="9">
        <v>4500</v>
      </c>
      <c r="AZ6" s="9">
        <v>4000</v>
      </c>
      <c r="BA6" s="9">
        <v>2500</v>
      </c>
      <c r="BB6" s="9"/>
      <c r="BC6" s="11"/>
      <c r="BD6" s="68">
        <v>6000</v>
      </c>
      <c r="BE6" s="68">
        <v>6920</v>
      </c>
      <c r="BF6" s="68">
        <v>9000</v>
      </c>
      <c r="BG6" s="68">
        <v>1000</v>
      </c>
      <c r="BH6" s="68">
        <v>29500</v>
      </c>
      <c r="BI6" s="68">
        <v>26600</v>
      </c>
      <c r="BJ6" s="19"/>
      <c r="BK6" s="20" t="s">
        <v>52</v>
      </c>
      <c r="BL6" s="10">
        <v>292390</v>
      </c>
      <c r="BM6" s="11"/>
      <c r="BN6" s="28"/>
      <c r="BO6" s="70"/>
      <c r="BQ6" s="9">
        <v>14500</v>
      </c>
      <c r="BR6" s="9">
        <v>5000</v>
      </c>
      <c r="BS6" s="9">
        <v>5500</v>
      </c>
      <c r="BT6" s="9">
        <v>16000</v>
      </c>
      <c r="BU6" s="9">
        <v>2400</v>
      </c>
      <c r="BV6" s="9">
        <v>44000</v>
      </c>
      <c r="BW6" s="9">
        <v>25500</v>
      </c>
      <c r="BX6" s="9">
        <v>3000</v>
      </c>
      <c r="BY6" s="11"/>
      <c r="BZ6" s="68">
        <v>14410</v>
      </c>
      <c r="CA6" s="68">
        <v>54000</v>
      </c>
      <c r="CB6" s="68">
        <v>6400</v>
      </c>
      <c r="CC6" s="68">
        <v>19400</v>
      </c>
      <c r="CD6" s="68">
        <v>15000</v>
      </c>
      <c r="CE6" s="68">
        <v>1500</v>
      </c>
      <c r="CF6" s="19"/>
      <c r="CG6" s="20" t="s">
        <v>167</v>
      </c>
      <c r="CH6" s="10">
        <v>468400</v>
      </c>
      <c r="CI6" s="11"/>
      <c r="CJ6" s="28"/>
      <c r="CK6" s="70"/>
      <c r="CM6" s="9"/>
      <c r="CN6" s="9"/>
      <c r="CO6" s="9"/>
      <c r="CP6" s="9"/>
      <c r="CQ6" s="9"/>
      <c r="CR6" s="9"/>
      <c r="CS6" s="9"/>
      <c r="CT6" s="11"/>
      <c r="CU6" s="10"/>
      <c r="CV6" s="10"/>
      <c r="CW6" s="10"/>
      <c r="CX6" s="10"/>
      <c r="CY6" s="19"/>
      <c r="CZ6" s="20"/>
      <c r="DA6" s="10"/>
      <c r="DB6" s="11"/>
      <c r="DC6" s="28"/>
      <c r="DD6" s="26"/>
      <c r="DF6" s="40"/>
      <c r="DG6" s="52"/>
      <c r="DH6" s="53"/>
      <c r="DI6" s="54"/>
    </row>
    <row r="7" ht="15" customHeight="1" spans="1:113">
      <c r="A7" s="9">
        <v>4000</v>
      </c>
      <c r="B7" s="9">
        <v>1000</v>
      </c>
      <c r="C7" s="9">
        <v>13500</v>
      </c>
      <c r="D7" s="9">
        <v>2500</v>
      </c>
      <c r="E7" s="9">
        <v>2500</v>
      </c>
      <c r="F7" s="9">
        <v>9000</v>
      </c>
      <c r="G7" s="9">
        <v>2300</v>
      </c>
      <c r="H7" s="9">
        <v>15000</v>
      </c>
      <c r="I7" s="9">
        <v>10000</v>
      </c>
      <c r="J7" s="11"/>
      <c r="K7" s="68">
        <v>5000</v>
      </c>
      <c r="L7" s="68">
        <v>4000</v>
      </c>
      <c r="M7" s="68">
        <v>7490</v>
      </c>
      <c r="N7" s="68">
        <v>18800</v>
      </c>
      <c r="O7" s="68">
        <v>31500</v>
      </c>
      <c r="P7" s="68">
        <v>8500</v>
      </c>
      <c r="Q7" s="68">
        <v>12400</v>
      </c>
      <c r="R7" s="19"/>
      <c r="S7" s="20" t="s">
        <v>140</v>
      </c>
      <c r="T7" s="10">
        <v>922000</v>
      </c>
      <c r="U7" s="11"/>
      <c r="V7" s="27" t="s">
        <v>1</v>
      </c>
      <c r="W7" s="69">
        <f>SUM(T2:T35)</f>
        <v>4877830</v>
      </c>
      <c r="X7" s="24"/>
      <c r="Y7" s="9">
        <v>13700</v>
      </c>
      <c r="Z7" s="9">
        <v>90000</v>
      </c>
      <c r="AA7" s="9">
        <v>800</v>
      </c>
      <c r="AB7" s="9">
        <v>2000</v>
      </c>
      <c r="AC7" s="9">
        <v>5000</v>
      </c>
      <c r="AD7" s="9">
        <v>3600</v>
      </c>
      <c r="AE7" s="9">
        <v>1000</v>
      </c>
      <c r="AF7" s="9"/>
      <c r="AG7" s="11"/>
      <c r="AH7" s="68">
        <v>5600</v>
      </c>
      <c r="AI7" s="68">
        <v>1800</v>
      </c>
      <c r="AJ7" s="68">
        <v>5000</v>
      </c>
      <c r="AK7" s="68">
        <v>18000</v>
      </c>
      <c r="AL7" s="68">
        <v>4000</v>
      </c>
      <c r="AM7" s="68">
        <v>5000</v>
      </c>
      <c r="AN7" s="19"/>
      <c r="AO7" s="20" t="s">
        <v>14</v>
      </c>
      <c r="AP7" s="10">
        <v>890000</v>
      </c>
      <c r="AQ7" s="11"/>
      <c r="AR7" s="27" t="s">
        <v>1</v>
      </c>
      <c r="AS7" s="69">
        <f>SUM(AP2:AP35)</f>
        <v>5077500</v>
      </c>
      <c r="AU7" s="9">
        <v>5300</v>
      </c>
      <c r="AV7" s="9">
        <v>20000</v>
      </c>
      <c r="AW7" s="9">
        <v>4000</v>
      </c>
      <c r="AX7" s="9">
        <v>3800</v>
      </c>
      <c r="AY7" s="9">
        <v>10500</v>
      </c>
      <c r="AZ7" s="9">
        <v>8800</v>
      </c>
      <c r="BA7" s="9">
        <v>70500</v>
      </c>
      <c r="BB7" s="9"/>
      <c r="BC7" s="11"/>
      <c r="BD7" s="68">
        <v>32000</v>
      </c>
      <c r="BE7" s="68">
        <v>1850</v>
      </c>
      <c r="BF7" s="68">
        <v>2500</v>
      </c>
      <c r="BG7" s="68">
        <v>3500</v>
      </c>
      <c r="BH7" s="68">
        <v>6000</v>
      </c>
      <c r="BI7" s="68">
        <v>5500</v>
      </c>
      <c r="BJ7" s="19"/>
      <c r="BK7" s="20" t="s">
        <v>58</v>
      </c>
      <c r="BL7" s="10">
        <v>59350</v>
      </c>
      <c r="BM7" s="11"/>
      <c r="BN7" s="27" t="s">
        <v>1</v>
      </c>
      <c r="BO7" s="69">
        <f>SUM(BL2:BL35)</f>
        <v>4958850</v>
      </c>
      <c r="BQ7" s="9">
        <v>8000</v>
      </c>
      <c r="BR7" s="9">
        <v>8000</v>
      </c>
      <c r="BS7" s="9">
        <v>1500</v>
      </c>
      <c r="BT7" s="9">
        <v>9500</v>
      </c>
      <c r="BU7" s="9">
        <v>800</v>
      </c>
      <c r="BV7" s="9">
        <v>4000</v>
      </c>
      <c r="BW7" s="9">
        <v>22000</v>
      </c>
      <c r="BX7" s="9">
        <v>4500</v>
      </c>
      <c r="BY7" s="11"/>
      <c r="BZ7" s="68">
        <v>12000</v>
      </c>
      <c r="CA7" s="68">
        <v>21500</v>
      </c>
      <c r="CB7" s="68">
        <v>7500</v>
      </c>
      <c r="CC7" s="68">
        <v>3000</v>
      </c>
      <c r="CD7" s="68">
        <v>2000</v>
      </c>
      <c r="CE7" s="68">
        <v>33700</v>
      </c>
      <c r="CF7" s="19"/>
      <c r="CG7" s="20" t="s">
        <v>18</v>
      </c>
      <c r="CH7" s="10">
        <v>870000</v>
      </c>
      <c r="CI7" s="11"/>
      <c r="CJ7" s="27" t="s">
        <v>1</v>
      </c>
      <c r="CK7" s="69">
        <f>SUM(CH2:CH35)</f>
        <v>8033904</v>
      </c>
      <c r="CM7" s="9"/>
      <c r="CN7" s="9"/>
      <c r="CO7" s="9"/>
      <c r="CP7" s="9"/>
      <c r="CQ7" s="9"/>
      <c r="CR7" s="9"/>
      <c r="CS7" s="9"/>
      <c r="CT7" s="11"/>
      <c r="CU7" s="10"/>
      <c r="CV7" s="10"/>
      <c r="CW7" s="10"/>
      <c r="CX7" s="10"/>
      <c r="CY7" s="19"/>
      <c r="CZ7" s="20"/>
      <c r="DA7" s="10"/>
      <c r="DB7" s="11"/>
      <c r="DC7" s="27" t="s">
        <v>1</v>
      </c>
      <c r="DD7" s="23">
        <f>SUM(DA2:DA35)</f>
        <v>0</v>
      </c>
      <c r="DF7" s="39" t="s">
        <v>1</v>
      </c>
      <c r="DG7" s="49"/>
      <c r="DH7" s="50">
        <f>SUM(W7,AS7,BO7,CK7,DD7)</f>
        <v>22948084</v>
      </c>
      <c r="DI7" s="51"/>
    </row>
    <row r="8" ht="15" customHeight="1" spans="1:113">
      <c r="A8" s="9">
        <v>11200</v>
      </c>
      <c r="B8" s="9">
        <v>6000</v>
      </c>
      <c r="C8" s="9">
        <v>2500</v>
      </c>
      <c r="D8" s="9">
        <v>2500</v>
      </c>
      <c r="E8" s="9">
        <v>500</v>
      </c>
      <c r="F8" s="9">
        <v>4500</v>
      </c>
      <c r="G8" s="9">
        <v>4250</v>
      </c>
      <c r="H8" s="9">
        <v>2000</v>
      </c>
      <c r="I8" s="9">
        <v>3000</v>
      </c>
      <c r="J8" s="11"/>
      <c r="K8" s="68">
        <v>1600</v>
      </c>
      <c r="L8" s="68">
        <v>9000</v>
      </c>
      <c r="M8" s="68">
        <v>47900</v>
      </c>
      <c r="N8" s="68">
        <v>15600</v>
      </c>
      <c r="O8" s="68">
        <v>3500</v>
      </c>
      <c r="P8" s="68">
        <v>2500</v>
      </c>
      <c r="Q8" s="68">
        <v>38000</v>
      </c>
      <c r="R8" s="19"/>
      <c r="S8" s="20" t="s">
        <v>168</v>
      </c>
      <c r="T8" s="10">
        <v>53500</v>
      </c>
      <c r="U8" s="11"/>
      <c r="V8" s="28"/>
      <c r="W8" s="70"/>
      <c r="X8" s="24"/>
      <c r="Y8" s="9">
        <v>2500</v>
      </c>
      <c r="Z8" s="9">
        <v>4500</v>
      </c>
      <c r="AA8" s="9">
        <v>600</v>
      </c>
      <c r="AB8" s="9">
        <v>9000</v>
      </c>
      <c r="AC8" s="9">
        <v>11500</v>
      </c>
      <c r="AD8" s="9">
        <v>600</v>
      </c>
      <c r="AE8" s="9">
        <v>20000</v>
      </c>
      <c r="AF8" s="9"/>
      <c r="AG8" s="11"/>
      <c r="AH8" s="68">
        <v>6000</v>
      </c>
      <c r="AI8" s="68">
        <v>1600</v>
      </c>
      <c r="AJ8" s="68">
        <v>5600</v>
      </c>
      <c r="AK8" s="68">
        <v>4700</v>
      </c>
      <c r="AL8" s="68">
        <v>1000</v>
      </c>
      <c r="AM8" s="68">
        <v>9000</v>
      </c>
      <c r="AN8" s="19"/>
      <c r="AO8" s="20" t="s">
        <v>169</v>
      </c>
      <c r="AP8" s="10">
        <v>57300</v>
      </c>
      <c r="AQ8" s="11"/>
      <c r="AR8" s="28"/>
      <c r="AS8" s="70"/>
      <c r="AU8" s="9">
        <v>10500</v>
      </c>
      <c r="AV8" s="9">
        <v>3600</v>
      </c>
      <c r="AW8" s="9">
        <v>2500</v>
      </c>
      <c r="AX8" s="9">
        <v>15600</v>
      </c>
      <c r="AY8" s="9">
        <v>7000</v>
      </c>
      <c r="AZ8" s="9">
        <v>500</v>
      </c>
      <c r="BA8" s="9">
        <v>6000</v>
      </c>
      <c r="BB8" s="9"/>
      <c r="BC8" s="11"/>
      <c r="BD8" s="68">
        <v>5500</v>
      </c>
      <c r="BE8" s="68">
        <v>4000</v>
      </c>
      <c r="BF8" s="68">
        <v>8500</v>
      </c>
      <c r="BG8" s="68">
        <v>12000</v>
      </c>
      <c r="BH8" s="68">
        <v>2500</v>
      </c>
      <c r="BI8" s="68">
        <v>19500</v>
      </c>
      <c r="BJ8" s="19"/>
      <c r="BK8" s="20" t="s">
        <v>10</v>
      </c>
      <c r="BL8" s="10">
        <v>310440</v>
      </c>
      <c r="BM8" s="11"/>
      <c r="BN8" s="28"/>
      <c r="BO8" s="70"/>
      <c r="BQ8" s="9">
        <v>3000</v>
      </c>
      <c r="BR8" s="9">
        <v>8000</v>
      </c>
      <c r="BS8" s="9">
        <v>7000</v>
      </c>
      <c r="BT8" s="9">
        <v>3500</v>
      </c>
      <c r="BU8" s="9">
        <v>3500</v>
      </c>
      <c r="BV8" s="9">
        <v>50000</v>
      </c>
      <c r="BW8" s="9">
        <v>12000</v>
      </c>
      <c r="BX8" s="9">
        <v>4500</v>
      </c>
      <c r="BY8" s="11"/>
      <c r="BZ8" s="68">
        <v>10000</v>
      </c>
      <c r="CA8" s="68">
        <v>25500</v>
      </c>
      <c r="CB8" s="68">
        <v>3840</v>
      </c>
      <c r="CC8" s="68">
        <v>27000</v>
      </c>
      <c r="CD8" s="68">
        <v>9500</v>
      </c>
      <c r="CE8" s="68">
        <v>38500</v>
      </c>
      <c r="CF8" s="19"/>
      <c r="CG8" s="20" t="s">
        <v>129</v>
      </c>
      <c r="CH8" s="10">
        <v>843150</v>
      </c>
      <c r="CI8" s="11"/>
      <c r="CJ8" s="28"/>
      <c r="CK8" s="70"/>
      <c r="CM8" s="9"/>
      <c r="CN8" s="9"/>
      <c r="CO8" s="9"/>
      <c r="CP8" s="9"/>
      <c r="CQ8" s="9"/>
      <c r="CR8" s="9"/>
      <c r="CS8" s="9"/>
      <c r="CT8" s="11"/>
      <c r="CU8" s="10"/>
      <c r="CV8" s="10"/>
      <c r="CW8" s="10"/>
      <c r="CX8" s="10"/>
      <c r="CY8" s="19"/>
      <c r="CZ8" s="20"/>
      <c r="DA8" s="10"/>
      <c r="DB8" s="11"/>
      <c r="DC8" s="28"/>
      <c r="DD8" s="26"/>
      <c r="DF8" s="40"/>
      <c r="DG8" s="52"/>
      <c r="DH8" s="53"/>
      <c r="DI8" s="54"/>
    </row>
    <row r="9" ht="15" customHeight="1" spans="1:113">
      <c r="A9" s="9">
        <v>6000</v>
      </c>
      <c r="B9" s="9">
        <v>52000</v>
      </c>
      <c r="C9" s="9">
        <v>1000</v>
      </c>
      <c r="D9" s="9">
        <v>5000</v>
      </c>
      <c r="E9" s="9">
        <v>1400</v>
      </c>
      <c r="F9" s="9">
        <v>2600</v>
      </c>
      <c r="G9" s="9">
        <v>7000</v>
      </c>
      <c r="H9" s="9">
        <v>1600</v>
      </c>
      <c r="I9" s="9">
        <v>12000</v>
      </c>
      <c r="J9" s="11"/>
      <c r="K9" s="68">
        <v>7000</v>
      </c>
      <c r="L9" s="68">
        <v>58120</v>
      </c>
      <c r="M9" s="68">
        <v>6500</v>
      </c>
      <c r="N9" s="68">
        <v>5000</v>
      </c>
      <c r="O9" s="68">
        <v>26000</v>
      </c>
      <c r="P9" s="68">
        <v>10000</v>
      </c>
      <c r="Q9" s="68">
        <v>8500</v>
      </c>
      <c r="R9" s="19"/>
      <c r="S9" s="20" t="s">
        <v>58</v>
      </c>
      <c r="T9" s="10">
        <v>202800</v>
      </c>
      <c r="U9" s="11"/>
      <c r="V9" s="29" t="s">
        <v>33</v>
      </c>
      <c r="W9" s="71">
        <f>W3+W5</f>
        <v>6828270</v>
      </c>
      <c r="X9" s="24"/>
      <c r="Y9" s="9">
        <v>5000</v>
      </c>
      <c r="Z9" s="9">
        <v>2500</v>
      </c>
      <c r="AA9" s="9">
        <v>4000</v>
      </c>
      <c r="AB9" s="9">
        <v>68000</v>
      </c>
      <c r="AC9" s="9">
        <v>10000</v>
      </c>
      <c r="AD9" s="9">
        <v>4000</v>
      </c>
      <c r="AE9" s="9">
        <v>31400</v>
      </c>
      <c r="AF9" s="9"/>
      <c r="AG9" s="11"/>
      <c r="AH9" s="68">
        <v>7500</v>
      </c>
      <c r="AI9" s="68">
        <v>4500</v>
      </c>
      <c r="AJ9" s="10"/>
      <c r="AK9" s="68">
        <v>1500</v>
      </c>
      <c r="AL9" s="68">
        <v>10000</v>
      </c>
      <c r="AM9" s="68">
        <v>1600</v>
      </c>
      <c r="AN9" s="19"/>
      <c r="AO9" s="20" t="s">
        <v>8</v>
      </c>
      <c r="AP9" s="10">
        <v>726100</v>
      </c>
      <c r="AQ9" s="11"/>
      <c r="AR9" s="29" t="s">
        <v>33</v>
      </c>
      <c r="AS9" s="71">
        <f>AS3+AS5</f>
        <v>4913210</v>
      </c>
      <c r="AU9" s="9">
        <v>8000</v>
      </c>
      <c r="AV9" s="9">
        <v>4500</v>
      </c>
      <c r="AW9" s="9">
        <v>4000</v>
      </c>
      <c r="AX9" s="9">
        <v>3000</v>
      </c>
      <c r="AY9" s="9">
        <v>13000</v>
      </c>
      <c r="AZ9" s="9">
        <v>8500</v>
      </c>
      <c r="BA9" s="9">
        <v>2000</v>
      </c>
      <c r="BB9" s="9"/>
      <c r="BC9" s="11"/>
      <c r="BD9" s="68">
        <v>8000</v>
      </c>
      <c r="BE9" s="68">
        <v>11200</v>
      </c>
      <c r="BF9" s="10"/>
      <c r="BG9" s="68">
        <v>15600</v>
      </c>
      <c r="BH9" s="68">
        <v>27000</v>
      </c>
      <c r="BI9" s="68">
        <v>2200</v>
      </c>
      <c r="BJ9" s="19"/>
      <c r="BK9" s="20" t="s">
        <v>7</v>
      </c>
      <c r="BL9" s="10">
        <v>44200</v>
      </c>
      <c r="BM9" s="11"/>
      <c r="BN9" s="29" t="s">
        <v>33</v>
      </c>
      <c r="BO9" s="71">
        <f>BO3+BO5</f>
        <v>4543830</v>
      </c>
      <c r="BQ9" s="9">
        <v>7000</v>
      </c>
      <c r="BR9" s="9">
        <v>1000</v>
      </c>
      <c r="BS9" s="9">
        <v>900</v>
      </c>
      <c r="BT9" s="9">
        <v>7100</v>
      </c>
      <c r="BU9" s="9">
        <v>3500</v>
      </c>
      <c r="BV9" s="9">
        <v>5500</v>
      </c>
      <c r="BW9" s="9">
        <v>21000</v>
      </c>
      <c r="BX9" s="9">
        <v>20500</v>
      </c>
      <c r="BY9" s="11"/>
      <c r="BZ9" s="68">
        <v>28000</v>
      </c>
      <c r="CA9" s="68">
        <v>3500</v>
      </c>
      <c r="CB9" s="68">
        <v>2950</v>
      </c>
      <c r="CC9" s="68">
        <v>6000</v>
      </c>
      <c r="CD9" s="68">
        <v>1300</v>
      </c>
      <c r="CE9" s="68">
        <v>15000</v>
      </c>
      <c r="CF9" s="19"/>
      <c r="CG9" s="20" t="s">
        <v>42</v>
      </c>
      <c r="CH9" s="10">
        <v>61300</v>
      </c>
      <c r="CI9" s="11"/>
      <c r="CJ9" s="29" t="s">
        <v>33</v>
      </c>
      <c r="CK9" s="71">
        <f>CK3+CK5</f>
        <v>5403140</v>
      </c>
      <c r="CM9" s="9"/>
      <c r="CN9" s="9"/>
      <c r="CO9" s="9"/>
      <c r="CP9" s="9"/>
      <c r="CQ9" s="9"/>
      <c r="CR9" s="9"/>
      <c r="CS9" s="9"/>
      <c r="CT9" s="11"/>
      <c r="CU9" s="10"/>
      <c r="CV9" s="10"/>
      <c r="CW9" s="10"/>
      <c r="CX9" s="10"/>
      <c r="CY9" s="19"/>
      <c r="CZ9" s="20"/>
      <c r="DA9" s="10"/>
      <c r="DB9" s="11"/>
      <c r="DC9" s="29" t="s">
        <v>33</v>
      </c>
      <c r="DD9" s="30">
        <f>DD3+DD5</f>
        <v>0</v>
      </c>
      <c r="DF9" s="41" t="s">
        <v>33</v>
      </c>
      <c r="DG9" s="55"/>
      <c r="DH9" s="56">
        <f>DH3+DH5</f>
        <v>21688450</v>
      </c>
      <c r="DI9" s="57"/>
    </row>
    <row r="10" ht="15" customHeight="1" spans="1:113">
      <c r="A10" s="9">
        <v>12000</v>
      </c>
      <c r="B10" s="9">
        <v>1000</v>
      </c>
      <c r="C10" s="9">
        <v>1000</v>
      </c>
      <c r="D10" s="9">
        <v>2500</v>
      </c>
      <c r="E10" s="9">
        <v>4000</v>
      </c>
      <c r="F10" s="9">
        <v>6400</v>
      </c>
      <c r="G10" s="9">
        <v>1500</v>
      </c>
      <c r="H10" s="9">
        <v>15500</v>
      </c>
      <c r="I10" s="9">
        <v>26500</v>
      </c>
      <c r="J10" s="11"/>
      <c r="K10" s="68">
        <v>18000</v>
      </c>
      <c r="L10" s="68">
        <v>61500</v>
      </c>
      <c r="M10" s="68">
        <v>16500</v>
      </c>
      <c r="N10" s="68">
        <v>2880</v>
      </c>
      <c r="O10" s="68">
        <v>4000</v>
      </c>
      <c r="P10" s="68">
        <v>4700</v>
      </c>
      <c r="Q10" s="68">
        <v>24500</v>
      </c>
      <c r="R10" s="19"/>
      <c r="S10" s="20" t="s">
        <v>170</v>
      </c>
      <c r="T10" s="10">
        <v>34000</v>
      </c>
      <c r="U10" s="11"/>
      <c r="V10" s="29" t="s">
        <v>36</v>
      </c>
      <c r="W10" s="71">
        <f>W1+W3+W5-W7+W15+W16</f>
        <v>4763830</v>
      </c>
      <c r="X10" s="24"/>
      <c r="Y10" s="9">
        <v>3100</v>
      </c>
      <c r="Z10" s="9">
        <v>13000</v>
      </c>
      <c r="AA10" s="9">
        <v>6000</v>
      </c>
      <c r="AB10" s="9">
        <v>8500</v>
      </c>
      <c r="AC10" s="9">
        <v>6100</v>
      </c>
      <c r="AD10" s="9">
        <v>5500</v>
      </c>
      <c r="AE10" s="9">
        <v>5500</v>
      </c>
      <c r="AF10" s="9"/>
      <c r="AG10" s="11"/>
      <c r="AH10" s="68">
        <v>10000</v>
      </c>
      <c r="AI10" s="68">
        <v>32200</v>
      </c>
      <c r="AJ10" s="10"/>
      <c r="AK10" s="68">
        <v>3000</v>
      </c>
      <c r="AL10" s="68">
        <v>10000</v>
      </c>
      <c r="AM10" s="68">
        <v>7800</v>
      </c>
      <c r="AN10" s="19"/>
      <c r="AO10" s="20" t="s">
        <v>49</v>
      </c>
      <c r="AP10" s="10">
        <v>261660</v>
      </c>
      <c r="AQ10" s="11"/>
      <c r="AR10" s="29" t="s">
        <v>36</v>
      </c>
      <c r="AS10" s="71">
        <f>AS1+AS3+AS5-AS7+AS15+AS16</f>
        <v>4792370</v>
      </c>
      <c r="AU10" s="9">
        <v>4000</v>
      </c>
      <c r="AV10" s="9">
        <v>5500</v>
      </c>
      <c r="AW10" s="9">
        <v>8600</v>
      </c>
      <c r="AX10" s="9">
        <v>10500</v>
      </c>
      <c r="AY10" s="9">
        <v>3000</v>
      </c>
      <c r="AZ10" s="9">
        <v>5400</v>
      </c>
      <c r="BA10" s="9">
        <v>4500</v>
      </c>
      <c r="BB10" s="9"/>
      <c r="BC10" s="11"/>
      <c r="BD10" s="68">
        <v>4500</v>
      </c>
      <c r="BE10" s="68">
        <v>3840</v>
      </c>
      <c r="BF10" s="10"/>
      <c r="BG10" s="68">
        <v>34500</v>
      </c>
      <c r="BH10" s="68">
        <v>8000</v>
      </c>
      <c r="BI10" s="68">
        <v>10600</v>
      </c>
      <c r="BJ10" s="19"/>
      <c r="BK10" s="20" t="s">
        <v>5</v>
      </c>
      <c r="BL10" s="10">
        <v>485970</v>
      </c>
      <c r="BM10" s="11"/>
      <c r="BN10" s="29" t="s">
        <v>36</v>
      </c>
      <c r="BO10" s="71">
        <f>BO1+BO3+BO5-BO7+BO15+BO16</f>
        <v>2707370</v>
      </c>
      <c r="BQ10" s="9">
        <v>3000</v>
      </c>
      <c r="BR10" s="9">
        <v>6000</v>
      </c>
      <c r="BS10" s="9">
        <v>18400</v>
      </c>
      <c r="BT10" s="9">
        <v>2500</v>
      </c>
      <c r="BU10" s="9">
        <v>1000</v>
      </c>
      <c r="BV10" s="9">
        <v>1000</v>
      </c>
      <c r="BW10" s="9">
        <v>87000</v>
      </c>
      <c r="BX10" s="9">
        <v>7000</v>
      </c>
      <c r="BY10" s="11"/>
      <c r="BZ10" s="68">
        <v>2500</v>
      </c>
      <c r="CA10" s="68">
        <v>7500</v>
      </c>
      <c r="CB10" s="68">
        <v>5250</v>
      </c>
      <c r="CC10" s="68">
        <v>15000</v>
      </c>
      <c r="CD10" s="68">
        <v>23000</v>
      </c>
      <c r="CE10" s="68">
        <v>7000</v>
      </c>
      <c r="CF10" s="19"/>
      <c r="CG10" s="20" t="s">
        <v>171</v>
      </c>
      <c r="CH10" s="10">
        <v>220000</v>
      </c>
      <c r="CI10" s="11"/>
      <c r="CJ10" s="29" t="s">
        <v>36</v>
      </c>
      <c r="CK10" s="71">
        <f>CK1+CK3+CK5-CK7+CK15+CK16</f>
        <v>484286</v>
      </c>
      <c r="CM10" s="9"/>
      <c r="CN10" s="9"/>
      <c r="CO10" s="9"/>
      <c r="CP10" s="9"/>
      <c r="CQ10" s="9"/>
      <c r="CR10" s="9"/>
      <c r="CS10" s="9"/>
      <c r="CT10" s="11"/>
      <c r="CU10" s="10"/>
      <c r="CV10" s="10"/>
      <c r="CW10" s="10"/>
      <c r="CX10" s="10"/>
      <c r="CY10" s="19"/>
      <c r="CZ10" s="20"/>
      <c r="DA10" s="10"/>
      <c r="DB10" s="11"/>
      <c r="DC10" s="29" t="s">
        <v>36</v>
      </c>
      <c r="DD10" s="30">
        <f>DD1+DD3+DD5-DD7+DD15+DD16</f>
        <v>0</v>
      </c>
      <c r="DF10" s="42"/>
      <c r="DG10" s="58"/>
      <c r="DH10" s="59"/>
      <c r="DI10" s="60"/>
    </row>
    <row r="11" ht="15" customHeight="1" spans="1:113">
      <c r="A11" s="9">
        <v>6000</v>
      </c>
      <c r="B11" s="9">
        <v>2500</v>
      </c>
      <c r="C11" s="9">
        <v>6200</v>
      </c>
      <c r="D11" s="9">
        <v>12000</v>
      </c>
      <c r="E11" s="9">
        <v>20500</v>
      </c>
      <c r="F11" s="9">
        <v>35000</v>
      </c>
      <c r="G11" s="9">
        <v>35000</v>
      </c>
      <c r="H11" s="9">
        <v>3000</v>
      </c>
      <c r="I11" s="9">
        <v>11300</v>
      </c>
      <c r="J11" s="11"/>
      <c r="K11" s="68">
        <v>20650</v>
      </c>
      <c r="L11" s="68">
        <v>6720</v>
      </c>
      <c r="M11" s="68">
        <v>25300</v>
      </c>
      <c r="N11" s="68">
        <v>3750</v>
      </c>
      <c r="O11" s="68">
        <v>6000</v>
      </c>
      <c r="P11" s="68">
        <v>7500</v>
      </c>
      <c r="Q11" s="68">
        <v>40000</v>
      </c>
      <c r="R11" s="19"/>
      <c r="S11" s="20" t="s">
        <v>5</v>
      </c>
      <c r="T11" s="10">
        <v>337200</v>
      </c>
      <c r="U11" s="11"/>
      <c r="V11" s="29" t="s">
        <v>40</v>
      </c>
      <c r="W11" s="71">
        <f>W9/7</f>
        <v>975467.142857143</v>
      </c>
      <c r="X11" s="24"/>
      <c r="Y11" s="9">
        <v>300</v>
      </c>
      <c r="Z11" s="9">
        <v>10000</v>
      </c>
      <c r="AA11" s="9">
        <v>500</v>
      </c>
      <c r="AB11" s="9">
        <v>2000</v>
      </c>
      <c r="AC11" s="9">
        <v>550</v>
      </c>
      <c r="AD11" s="9">
        <v>800</v>
      </c>
      <c r="AE11" s="9">
        <v>4300</v>
      </c>
      <c r="AF11" s="9"/>
      <c r="AG11" s="11"/>
      <c r="AH11" s="68">
        <v>5280</v>
      </c>
      <c r="AI11" s="68">
        <v>9600</v>
      </c>
      <c r="AJ11" s="10"/>
      <c r="AK11" s="68">
        <v>2000</v>
      </c>
      <c r="AL11" s="68">
        <v>3500</v>
      </c>
      <c r="AM11" s="68">
        <v>7000</v>
      </c>
      <c r="AN11" s="19"/>
      <c r="AO11" s="20" t="s">
        <v>172</v>
      </c>
      <c r="AP11" s="10">
        <v>122870</v>
      </c>
      <c r="AQ11" s="11"/>
      <c r="AR11" s="29" t="s">
        <v>40</v>
      </c>
      <c r="AS11" s="71">
        <f>AS9/7</f>
        <v>701887.142857143</v>
      </c>
      <c r="AU11" s="9">
        <v>27000</v>
      </c>
      <c r="AV11" s="9">
        <v>18000</v>
      </c>
      <c r="AW11" s="9">
        <v>2000</v>
      </c>
      <c r="AX11" s="9">
        <v>69500</v>
      </c>
      <c r="AY11" s="9">
        <v>3000</v>
      </c>
      <c r="AZ11" s="9">
        <v>5000</v>
      </c>
      <c r="BA11" s="9">
        <v>2500</v>
      </c>
      <c r="BB11" s="9"/>
      <c r="BC11" s="11"/>
      <c r="BD11" s="68">
        <v>3500</v>
      </c>
      <c r="BE11" s="68">
        <v>4500</v>
      </c>
      <c r="BF11" s="10"/>
      <c r="BG11" s="68">
        <v>800</v>
      </c>
      <c r="BH11" s="68">
        <v>15500</v>
      </c>
      <c r="BI11" s="68">
        <v>5600</v>
      </c>
      <c r="BJ11" s="19"/>
      <c r="BK11" s="20" t="s">
        <v>155</v>
      </c>
      <c r="BL11" s="10">
        <v>280000</v>
      </c>
      <c r="BM11" s="11"/>
      <c r="BN11" s="29" t="s">
        <v>40</v>
      </c>
      <c r="BO11" s="71">
        <f>BO9/7</f>
        <v>649118.571428571</v>
      </c>
      <c r="BQ11" s="9">
        <v>1000</v>
      </c>
      <c r="BR11" s="9">
        <v>700</v>
      </c>
      <c r="BS11" s="9">
        <v>50000</v>
      </c>
      <c r="BT11" s="9">
        <v>1200</v>
      </c>
      <c r="BU11" s="9">
        <v>1000</v>
      </c>
      <c r="BV11" s="9">
        <v>500</v>
      </c>
      <c r="BW11" s="9">
        <v>4500</v>
      </c>
      <c r="BX11" s="9">
        <v>6500</v>
      </c>
      <c r="BY11" s="11"/>
      <c r="BZ11" s="68">
        <v>4080</v>
      </c>
      <c r="CA11" s="68">
        <v>27200</v>
      </c>
      <c r="CB11" s="68">
        <v>100610</v>
      </c>
      <c r="CC11" s="68">
        <v>500</v>
      </c>
      <c r="CD11" s="68">
        <v>4500</v>
      </c>
      <c r="CE11" s="68">
        <v>8000</v>
      </c>
      <c r="CF11" s="19"/>
      <c r="CG11" s="20" t="s">
        <v>154</v>
      </c>
      <c r="CH11" s="10">
        <v>189300</v>
      </c>
      <c r="CI11" s="11"/>
      <c r="CJ11" s="29" t="s">
        <v>40</v>
      </c>
      <c r="CK11" s="71">
        <f>CK9/7</f>
        <v>771877.142857143</v>
      </c>
      <c r="CM11" s="9"/>
      <c r="CN11" s="9"/>
      <c r="CO11" s="9"/>
      <c r="CP11" s="9"/>
      <c r="CQ11" s="9"/>
      <c r="CR11" s="9"/>
      <c r="CS11" s="9"/>
      <c r="CT11" s="11"/>
      <c r="CU11" s="10"/>
      <c r="CV11" s="10"/>
      <c r="CW11" s="10"/>
      <c r="CX11" s="10"/>
      <c r="CY11" s="19"/>
      <c r="CZ11" s="20"/>
      <c r="DA11" s="10"/>
      <c r="DB11" s="11"/>
      <c r="DC11" s="29" t="s">
        <v>40</v>
      </c>
      <c r="DD11" s="30">
        <f>DD9/7</f>
        <v>0</v>
      </c>
      <c r="DF11" s="43" t="s">
        <v>36</v>
      </c>
      <c r="DG11" s="61"/>
      <c r="DH11" s="62">
        <f>DH9-DH7</f>
        <v>-1259634</v>
      </c>
      <c r="DI11" s="63"/>
    </row>
    <row r="12" ht="15" customHeight="1" spans="1:113">
      <c r="A12" s="9">
        <v>2300</v>
      </c>
      <c r="B12" s="9">
        <v>29400</v>
      </c>
      <c r="C12" s="9">
        <v>5000</v>
      </c>
      <c r="D12" s="9">
        <v>2500</v>
      </c>
      <c r="E12" s="9">
        <v>6500</v>
      </c>
      <c r="F12" s="9">
        <v>2500</v>
      </c>
      <c r="G12" s="9">
        <v>1000</v>
      </c>
      <c r="H12" s="9">
        <v>6000</v>
      </c>
      <c r="I12" s="9">
        <v>2000</v>
      </c>
      <c r="J12" s="11"/>
      <c r="K12" s="68">
        <v>5000</v>
      </c>
      <c r="L12" s="68">
        <v>18000</v>
      </c>
      <c r="M12" s="68">
        <v>2000</v>
      </c>
      <c r="N12" s="68">
        <v>60980</v>
      </c>
      <c r="O12" s="68">
        <v>12000</v>
      </c>
      <c r="P12" s="68">
        <v>3500</v>
      </c>
      <c r="Q12" s="68">
        <v>9500</v>
      </c>
      <c r="R12" s="19"/>
      <c r="S12" s="20" t="s">
        <v>170</v>
      </c>
      <c r="T12" s="10">
        <v>150000</v>
      </c>
      <c r="U12" s="11"/>
      <c r="V12" s="72"/>
      <c r="W12" s="72"/>
      <c r="X12" s="24"/>
      <c r="Y12" s="9">
        <v>1000</v>
      </c>
      <c r="Z12" s="9">
        <v>8500</v>
      </c>
      <c r="AA12" s="9">
        <v>2000</v>
      </c>
      <c r="AB12" s="9">
        <v>400</v>
      </c>
      <c r="AC12" s="9">
        <v>5000</v>
      </c>
      <c r="AD12" s="9">
        <v>7200</v>
      </c>
      <c r="AE12" s="9">
        <v>3000</v>
      </c>
      <c r="AF12" s="9"/>
      <c r="AG12" s="11"/>
      <c r="AH12" s="68">
        <v>17050</v>
      </c>
      <c r="AI12" s="68">
        <v>17180</v>
      </c>
      <c r="AJ12" s="10"/>
      <c r="AK12" s="68">
        <v>10000</v>
      </c>
      <c r="AL12" s="68">
        <v>29000</v>
      </c>
      <c r="AM12" s="68">
        <v>6500</v>
      </c>
      <c r="AN12" s="19"/>
      <c r="AO12" s="20" t="s">
        <v>34</v>
      </c>
      <c r="AP12" s="10">
        <v>23400</v>
      </c>
      <c r="AQ12" s="11"/>
      <c r="AR12" s="24">
        <v>65000</v>
      </c>
      <c r="AS12" s="72">
        <v>95000</v>
      </c>
      <c r="AU12" s="9">
        <v>4500</v>
      </c>
      <c r="AV12" s="9">
        <v>2500</v>
      </c>
      <c r="AW12" s="9">
        <v>4000</v>
      </c>
      <c r="AX12" s="9">
        <v>13000</v>
      </c>
      <c r="AY12" s="9">
        <v>38000</v>
      </c>
      <c r="AZ12" s="9">
        <v>6500</v>
      </c>
      <c r="BA12" s="9">
        <v>4500</v>
      </c>
      <c r="BB12" s="9"/>
      <c r="BC12" s="11"/>
      <c r="BD12" s="68">
        <v>5000</v>
      </c>
      <c r="BE12" s="68">
        <v>12870</v>
      </c>
      <c r="BF12" s="10"/>
      <c r="BG12" s="68">
        <v>1200</v>
      </c>
      <c r="BH12" s="68">
        <v>3000</v>
      </c>
      <c r="BI12" s="68">
        <v>15600</v>
      </c>
      <c r="BJ12" s="19"/>
      <c r="BK12" s="20" t="s">
        <v>173</v>
      </c>
      <c r="BL12" s="10">
        <v>50000</v>
      </c>
      <c r="BM12" s="11"/>
      <c r="BN12" s="24"/>
      <c r="BO12" s="72">
        <v>50000</v>
      </c>
      <c r="BQ12" s="9">
        <v>9000</v>
      </c>
      <c r="BR12" s="9">
        <v>3000</v>
      </c>
      <c r="BS12" s="9">
        <v>4000</v>
      </c>
      <c r="BT12" s="9">
        <v>300</v>
      </c>
      <c r="BU12" s="9">
        <v>1000</v>
      </c>
      <c r="BV12" s="9">
        <v>52000</v>
      </c>
      <c r="BW12" s="9">
        <v>16000</v>
      </c>
      <c r="BX12" s="9">
        <v>4500</v>
      </c>
      <c r="BY12" s="11"/>
      <c r="BZ12" s="68">
        <v>22870</v>
      </c>
      <c r="CA12" s="68">
        <v>4800</v>
      </c>
      <c r="CB12" s="68">
        <v>2300</v>
      </c>
      <c r="CC12" s="68">
        <v>5000</v>
      </c>
      <c r="CD12" s="68">
        <v>31500</v>
      </c>
      <c r="CE12" s="68">
        <v>10000</v>
      </c>
      <c r="CF12" s="19"/>
      <c r="CG12" s="20" t="s">
        <v>67</v>
      </c>
      <c r="CH12" s="10">
        <v>312504</v>
      </c>
      <c r="CI12" s="11"/>
      <c r="CJ12" s="24"/>
      <c r="CK12" s="72">
        <v>312504</v>
      </c>
      <c r="CL12" s="24"/>
      <c r="CM12" s="9"/>
      <c r="CN12" s="9"/>
      <c r="CO12" s="9"/>
      <c r="CP12" s="9"/>
      <c r="CQ12" s="9"/>
      <c r="CR12" s="9"/>
      <c r="CS12" s="9"/>
      <c r="CT12" s="11"/>
      <c r="CU12" s="10"/>
      <c r="CV12" s="10"/>
      <c r="CW12" s="10"/>
      <c r="CX12" s="10"/>
      <c r="CY12" s="19"/>
      <c r="CZ12" s="20"/>
      <c r="DA12" s="10"/>
      <c r="DB12" s="11"/>
      <c r="DC12" s="24"/>
      <c r="DD12" s="24"/>
      <c r="DF12" s="44"/>
      <c r="DG12" s="64"/>
      <c r="DH12" s="65"/>
      <c r="DI12" s="66"/>
    </row>
    <row r="13" spans="1:108">
      <c r="A13" s="9">
        <v>3300</v>
      </c>
      <c r="B13" s="9">
        <v>13000</v>
      </c>
      <c r="C13" s="9">
        <v>6000</v>
      </c>
      <c r="D13" s="9">
        <v>8500</v>
      </c>
      <c r="E13" s="9">
        <v>4000</v>
      </c>
      <c r="F13" s="9">
        <v>1500</v>
      </c>
      <c r="G13" s="9">
        <v>1500</v>
      </c>
      <c r="H13" s="9">
        <v>3000</v>
      </c>
      <c r="I13" s="9">
        <v>24500</v>
      </c>
      <c r="J13" s="11"/>
      <c r="K13" s="68">
        <v>9610</v>
      </c>
      <c r="L13" s="68">
        <v>470</v>
      </c>
      <c r="M13" s="68">
        <v>5000</v>
      </c>
      <c r="N13" s="68">
        <v>7690</v>
      </c>
      <c r="O13" s="68">
        <v>30500</v>
      </c>
      <c r="P13" s="68">
        <v>25500</v>
      </c>
      <c r="Q13" s="68">
        <v>8500</v>
      </c>
      <c r="R13" s="19"/>
      <c r="S13" s="20" t="s">
        <v>6</v>
      </c>
      <c r="T13" s="10">
        <v>400000</v>
      </c>
      <c r="U13" s="11"/>
      <c r="V13" s="72"/>
      <c r="W13" s="72">
        <v>50000</v>
      </c>
      <c r="X13" s="24"/>
      <c r="Y13" s="9">
        <v>2500</v>
      </c>
      <c r="Z13" s="9">
        <v>3200</v>
      </c>
      <c r="AA13" s="9">
        <v>12600</v>
      </c>
      <c r="AB13" s="9">
        <v>2500</v>
      </c>
      <c r="AC13" s="9">
        <v>3000</v>
      </c>
      <c r="AD13" s="9">
        <v>3500</v>
      </c>
      <c r="AE13" s="9">
        <v>8000</v>
      </c>
      <c r="AF13" s="9"/>
      <c r="AG13" s="11"/>
      <c r="AH13" s="68">
        <v>1600</v>
      </c>
      <c r="AI13" s="68">
        <v>35000</v>
      </c>
      <c r="AJ13" s="10"/>
      <c r="AK13" s="68">
        <v>5000</v>
      </c>
      <c r="AL13" s="68">
        <v>9500</v>
      </c>
      <c r="AM13" s="68">
        <v>5500</v>
      </c>
      <c r="AN13" s="19"/>
      <c r="AO13" s="20" t="s">
        <v>151</v>
      </c>
      <c r="AP13" s="10">
        <v>28800</v>
      </c>
      <c r="AQ13" s="11"/>
      <c r="AR13" s="24"/>
      <c r="AS13" s="72">
        <v>402000</v>
      </c>
      <c r="AU13" s="9">
        <v>5000</v>
      </c>
      <c r="AV13" s="9">
        <v>2500</v>
      </c>
      <c r="AW13" s="9">
        <v>2000</v>
      </c>
      <c r="AX13" s="9">
        <v>2500</v>
      </c>
      <c r="AY13" s="9">
        <v>2200</v>
      </c>
      <c r="AZ13" s="9">
        <v>2000</v>
      </c>
      <c r="BA13" s="9">
        <v>13000</v>
      </c>
      <c r="BB13" s="9"/>
      <c r="BC13" s="11"/>
      <c r="BD13" s="68">
        <v>5000</v>
      </c>
      <c r="BE13" s="68">
        <v>4800</v>
      </c>
      <c r="BF13" s="10"/>
      <c r="BG13" s="68">
        <v>13000</v>
      </c>
      <c r="BH13" s="68">
        <v>9000</v>
      </c>
      <c r="BI13" s="68">
        <v>4500</v>
      </c>
      <c r="BJ13" s="19"/>
      <c r="BK13" s="20" t="s">
        <v>174</v>
      </c>
      <c r="BL13" s="10">
        <v>200000</v>
      </c>
      <c r="BM13" s="11"/>
      <c r="BN13" s="24"/>
      <c r="BO13" s="72">
        <v>280000</v>
      </c>
      <c r="BQ13" s="9">
        <v>1000</v>
      </c>
      <c r="BR13" s="9">
        <v>2000</v>
      </c>
      <c r="BS13" s="9">
        <v>3500</v>
      </c>
      <c r="BT13" s="9">
        <v>2000</v>
      </c>
      <c r="BU13" s="9">
        <v>6500</v>
      </c>
      <c r="BV13" s="9">
        <v>8700</v>
      </c>
      <c r="BW13" s="9">
        <v>8500</v>
      </c>
      <c r="BX13" s="9">
        <v>8000</v>
      </c>
      <c r="BY13" s="11"/>
      <c r="BZ13" s="68">
        <v>17290</v>
      </c>
      <c r="CA13" s="68">
        <v>2030</v>
      </c>
      <c r="CB13" s="68">
        <v>29780</v>
      </c>
      <c r="CC13" s="68">
        <v>24000</v>
      </c>
      <c r="CD13" s="68">
        <v>14000</v>
      </c>
      <c r="CE13" s="68">
        <v>48500</v>
      </c>
      <c r="CF13" s="19"/>
      <c r="CG13" s="20" t="s">
        <v>146</v>
      </c>
      <c r="CH13" s="10">
        <v>831700</v>
      </c>
      <c r="CI13" s="11"/>
      <c r="CJ13" s="24"/>
      <c r="CK13" s="72">
        <v>831700</v>
      </c>
      <c r="CL13" s="31"/>
      <c r="CM13" s="9"/>
      <c r="CN13" s="9"/>
      <c r="CO13" s="9"/>
      <c r="CP13" s="9"/>
      <c r="CQ13" s="9"/>
      <c r="CR13" s="9"/>
      <c r="CS13" s="9"/>
      <c r="CT13" s="11"/>
      <c r="CU13" s="10"/>
      <c r="CV13" s="10"/>
      <c r="CW13" s="10"/>
      <c r="CX13" s="10"/>
      <c r="CY13" s="19"/>
      <c r="CZ13" s="20"/>
      <c r="DA13" s="10"/>
      <c r="DB13" s="11"/>
      <c r="DC13" s="24"/>
      <c r="DD13" s="31"/>
    </row>
    <row r="14" spans="1:108">
      <c r="A14" s="9">
        <v>1000</v>
      </c>
      <c r="B14" s="9">
        <v>2000</v>
      </c>
      <c r="C14" s="9">
        <v>1500</v>
      </c>
      <c r="D14" s="9">
        <v>2500</v>
      </c>
      <c r="E14" s="9">
        <v>18000</v>
      </c>
      <c r="F14" s="9">
        <v>4000</v>
      </c>
      <c r="G14" s="9">
        <v>5000</v>
      </c>
      <c r="H14" s="9">
        <v>5500</v>
      </c>
      <c r="I14" s="9">
        <v>4000</v>
      </c>
      <c r="J14" s="11"/>
      <c r="K14" s="68">
        <v>6400</v>
      </c>
      <c r="L14" s="68">
        <v>10000</v>
      </c>
      <c r="M14" s="68">
        <v>1600</v>
      </c>
      <c r="N14" s="68">
        <v>7210</v>
      </c>
      <c r="O14" s="68">
        <v>10000</v>
      </c>
      <c r="P14" s="68">
        <v>16500</v>
      </c>
      <c r="Q14" s="68">
        <v>9000</v>
      </c>
      <c r="R14" s="19"/>
      <c r="S14" s="20" t="s">
        <v>44</v>
      </c>
      <c r="T14" s="10">
        <v>239300</v>
      </c>
      <c r="U14" s="11"/>
      <c r="V14" s="72"/>
      <c r="W14" s="72">
        <v>264000</v>
      </c>
      <c r="X14" s="24"/>
      <c r="Y14" s="9">
        <v>5000</v>
      </c>
      <c r="Z14" s="9">
        <v>8500</v>
      </c>
      <c r="AA14" s="9">
        <v>3000</v>
      </c>
      <c r="AB14" s="9">
        <v>3000</v>
      </c>
      <c r="AC14" s="9">
        <v>6000</v>
      </c>
      <c r="AD14" s="9">
        <v>4000</v>
      </c>
      <c r="AE14" s="9">
        <v>3500</v>
      </c>
      <c r="AF14" s="9"/>
      <c r="AG14" s="11"/>
      <c r="AH14" s="68">
        <v>16500</v>
      </c>
      <c r="AI14" s="68">
        <v>12000</v>
      </c>
      <c r="AJ14" s="10"/>
      <c r="AK14" s="68">
        <v>8000</v>
      </c>
      <c r="AL14" s="68">
        <v>70000</v>
      </c>
      <c r="AM14" s="68">
        <v>6000</v>
      </c>
      <c r="AN14" s="19"/>
      <c r="AO14" s="20" t="s">
        <v>5</v>
      </c>
      <c r="AP14" s="10">
        <v>402000</v>
      </c>
      <c r="AQ14" s="11"/>
      <c r="AR14" s="24"/>
      <c r="AS14" s="72">
        <v>809000</v>
      </c>
      <c r="AU14" s="9">
        <v>2500</v>
      </c>
      <c r="AV14" s="9">
        <v>2500</v>
      </c>
      <c r="AW14" s="9">
        <v>6500</v>
      </c>
      <c r="AX14" s="9">
        <v>10000</v>
      </c>
      <c r="AY14" s="9">
        <v>12500</v>
      </c>
      <c r="AZ14" s="9">
        <v>5000</v>
      </c>
      <c r="BA14" s="9">
        <v>120</v>
      </c>
      <c r="BB14" s="9"/>
      <c r="BC14" s="11"/>
      <c r="BD14" s="68">
        <v>7000</v>
      </c>
      <c r="BE14" s="68">
        <v>15840</v>
      </c>
      <c r="BF14" s="10"/>
      <c r="BG14" s="68">
        <v>22500</v>
      </c>
      <c r="BH14" s="68">
        <v>5500</v>
      </c>
      <c r="BI14" s="68">
        <v>60000</v>
      </c>
      <c r="BJ14" s="19"/>
      <c r="BK14" s="20" t="s">
        <v>175</v>
      </c>
      <c r="BL14" s="10">
        <v>223000</v>
      </c>
      <c r="BM14" s="11"/>
      <c r="BN14" s="24"/>
      <c r="BO14" s="72">
        <v>200000</v>
      </c>
      <c r="BQ14" s="9">
        <v>1500</v>
      </c>
      <c r="BR14" s="9">
        <v>2000</v>
      </c>
      <c r="BS14" s="9">
        <v>5000</v>
      </c>
      <c r="BT14" s="9">
        <v>1500</v>
      </c>
      <c r="BU14" s="9">
        <v>6900</v>
      </c>
      <c r="BV14" s="9">
        <v>1500</v>
      </c>
      <c r="BW14" s="9">
        <v>7000</v>
      </c>
      <c r="BX14" s="9">
        <v>7500</v>
      </c>
      <c r="BY14" s="11"/>
      <c r="BZ14" s="68">
        <v>19310</v>
      </c>
      <c r="CA14" s="68">
        <v>2500</v>
      </c>
      <c r="CB14" s="68">
        <v>9610</v>
      </c>
      <c r="CC14" s="68">
        <v>39500</v>
      </c>
      <c r="CD14" s="68">
        <v>8000</v>
      </c>
      <c r="CE14" s="68">
        <v>30000</v>
      </c>
      <c r="CF14" s="19"/>
      <c r="CG14" s="20" t="s">
        <v>44</v>
      </c>
      <c r="CH14" s="10">
        <v>125000</v>
      </c>
      <c r="CI14" s="11"/>
      <c r="CJ14" s="24"/>
      <c r="CK14" s="72">
        <v>843150</v>
      </c>
      <c r="CL14" s="24"/>
      <c r="CM14" s="9"/>
      <c r="CN14" s="9"/>
      <c r="CO14" s="9"/>
      <c r="CP14" s="9"/>
      <c r="CQ14" s="9"/>
      <c r="CR14" s="9"/>
      <c r="CS14" s="9"/>
      <c r="CT14" s="11"/>
      <c r="CU14" s="10"/>
      <c r="CV14" s="10"/>
      <c r="CW14" s="10"/>
      <c r="CX14" s="10"/>
      <c r="CY14" s="19"/>
      <c r="CZ14" s="20"/>
      <c r="DA14" s="10"/>
      <c r="DB14" s="11"/>
      <c r="DC14" s="24"/>
      <c r="DD14" s="24"/>
    </row>
    <row r="15" ht="15.75" customHeight="1" spans="1:108">
      <c r="A15" s="9">
        <v>6500</v>
      </c>
      <c r="B15" s="9">
        <v>11000</v>
      </c>
      <c r="C15" s="9">
        <v>1000</v>
      </c>
      <c r="D15" s="9">
        <v>7000</v>
      </c>
      <c r="E15" s="9">
        <v>500</v>
      </c>
      <c r="F15" s="9">
        <v>3500</v>
      </c>
      <c r="G15" s="9">
        <v>10000</v>
      </c>
      <c r="H15" s="9">
        <v>4000</v>
      </c>
      <c r="I15" s="9"/>
      <c r="J15" s="11"/>
      <c r="K15" s="68">
        <v>3000</v>
      </c>
      <c r="L15" s="68">
        <v>6000</v>
      </c>
      <c r="M15" s="68">
        <v>7500</v>
      </c>
      <c r="N15" s="68">
        <v>400</v>
      </c>
      <c r="O15" s="68">
        <v>20000</v>
      </c>
      <c r="P15" s="68">
        <v>5000</v>
      </c>
      <c r="Q15" s="68">
        <v>2500</v>
      </c>
      <c r="R15" s="19"/>
      <c r="S15" s="20" t="s">
        <v>176</v>
      </c>
      <c r="T15" s="10">
        <v>264000</v>
      </c>
      <c r="U15" s="11"/>
      <c r="V15" s="32" t="s">
        <v>50</v>
      </c>
      <c r="W15" s="33">
        <v>766720</v>
      </c>
      <c r="X15" s="24"/>
      <c r="Y15" s="9">
        <v>3500</v>
      </c>
      <c r="Z15" s="9">
        <v>137500</v>
      </c>
      <c r="AA15" s="9">
        <v>4000</v>
      </c>
      <c r="AB15" s="9">
        <v>8500</v>
      </c>
      <c r="AC15" s="9">
        <v>35000</v>
      </c>
      <c r="AD15" s="9">
        <v>4500</v>
      </c>
      <c r="AE15" s="9">
        <v>3500</v>
      </c>
      <c r="AF15" s="9"/>
      <c r="AG15" s="11"/>
      <c r="AH15" s="68">
        <v>3000</v>
      </c>
      <c r="AI15" s="68">
        <v>5700</v>
      </c>
      <c r="AJ15" s="10"/>
      <c r="AK15" s="68">
        <v>7500</v>
      </c>
      <c r="AL15" s="68">
        <v>7600</v>
      </c>
      <c r="AM15" s="68">
        <v>3000</v>
      </c>
      <c r="AN15" s="19"/>
      <c r="AO15" s="20" t="s">
        <v>27</v>
      </c>
      <c r="AP15" s="10">
        <v>95000</v>
      </c>
      <c r="AQ15" s="11"/>
      <c r="AR15" s="32" t="s">
        <v>50</v>
      </c>
      <c r="AS15" s="33">
        <v>1879840</v>
      </c>
      <c r="AU15" s="9">
        <v>600</v>
      </c>
      <c r="AV15" s="9">
        <v>1600</v>
      </c>
      <c r="AW15" s="9">
        <v>10500</v>
      </c>
      <c r="AX15" s="9">
        <v>9200</v>
      </c>
      <c r="AY15" s="9">
        <v>1200</v>
      </c>
      <c r="AZ15" s="9">
        <v>12000</v>
      </c>
      <c r="BA15" s="9">
        <v>4000</v>
      </c>
      <c r="BB15" s="9"/>
      <c r="BC15" s="11"/>
      <c r="BD15" s="68">
        <v>80200</v>
      </c>
      <c r="BE15" s="68">
        <v>14400</v>
      </c>
      <c r="BF15" s="10"/>
      <c r="BG15" s="68">
        <v>3500</v>
      </c>
      <c r="BH15" s="68">
        <v>2300</v>
      </c>
      <c r="BI15" s="68">
        <v>12000</v>
      </c>
      <c r="BJ15" s="19"/>
      <c r="BK15" s="20" t="s">
        <v>145</v>
      </c>
      <c r="BL15" s="10">
        <v>376500</v>
      </c>
      <c r="BM15" s="11"/>
      <c r="BN15" s="32" t="s">
        <v>50</v>
      </c>
      <c r="BO15" s="33">
        <v>915950</v>
      </c>
      <c r="BQ15" s="9">
        <v>7000</v>
      </c>
      <c r="BR15" s="9">
        <v>10000</v>
      </c>
      <c r="BS15" s="9">
        <v>17900</v>
      </c>
      <c r="BT15" s="9">
        <v>1000</v>
      </c>
      <c r="BU15" s="9">
        <v>3500</v>
      </c>
      <c r="BV15" s="9">
        <v>2000</v>
      </c>
      <c r="BW15" s="9">
        <v>18000</v>
      </c>
      <c r="BX15" s="9">
        <v>6000</v>
      </c>
      <c r="BY15" s="11"/>
      <c r="BZ15" s="68">
        <v>73500</v>
      </c>
      <c r="CA15" s="68">
        <v>1000</v>
      </c>
      <c r="CB15" s="68">
        <v>6830</v>
      </c>
      <c r="CC15" s="68">
        <v>4100</v>
      </c>
      <c r="CD15" s="68">
        <v>18000</v>
      </c>
      <c r="CE15" s="68">
        <v>10000</v>
      </c>
      <c r="CF15" s="19"/>
      <c r="CG15" s="20" t="s">
        <v>44</v>
      </c>
      <c r="CH15" s="10">
        <v>100000</v>
      </c>
      <c r="CI15" s="11"/>
      <c r="CJ15" s="32" t="s">
        <v>50</v>
      </c>
      <c r="CK15" s="33">
        <v>1678670</v>
      </c>
      <c r="CL15" s="24"/>
      <c r="CM15" s="9"/>
      <c r="CN15" s="9"/>
      <c r="CO15" s="9"/>
      <c r="CP15" s="9"/>
      <c r="CQ15" s="9"/>
      <c r="CR15" s="9"/>
      <c r="CS15" s="9"/>
      <c r="CT15" s="11"/>
      <c r="CU15" s="10"/>
      <c r="CV15" s="10"/>
      <c r="CW15" s="10"/>
      <c r="CX15" s="10"/>
      <c r="CY15" s="19"/>
      <c r="CZ15" s="20"/>
      <c r="DA15" s="10"/>
      <c r="DB15" s="11"/>
      <c r="DC15" s="32" t="s">
        <v>50</v>
      </c>
      <c r="DD15" s="33"/>
    </row>
    <row r="16" ht="15" customHeight="1" spans="1:108">
      <c r="A16" s="9">
        <v>14500</v>
      </c>
      <c r="B16" s="9">
        <v>3500</v>
      </c>
      <c r="C16" s="9">
        <v>5000</v>
      </c>
      <c r="D16" s="9">
        <v>10000</v>
      </c>
      <c r="E16" s="9">
        <v>2500</v>
      </c>
      <c r="F16" s="9">
        <v>800</v>
      </c>
      <c r="G16" s="9">
        <v>13000</v>
      </c>
      <c r="H16" s="9">
        <v>26000</v>
      </c>
      <c r="I16" s="9"/>
      <c r="J16" s="11"/>
      <c r="K16" s="68">
        <v>1000</v>
      </c>
      <c r="L16" s="68">
        <v>3000</v>
      </c>
      <c r="M16" s="68">
        <v>32000</v>
      </c>
      <c r="N16" s="68">
        <v>45000</v>
      </c>
      <c r="O16" s="68">
        <v>1600</v>
      </c>
      <c r="P16" s="68">
        <v>5000</v>
      </c>
      <c r="Q16" s="68">
        <v>1200</v>
      </c>
      <c r="R16" s="21"/>
      <c r="S16" s="20" t="s">
        <v>177</v>
      </c>
      <c r="T16" s="10">
        <v>50000</v>
      </c>
      <c r="U16" s="11"/>
      <c r="V16" s="32" t="s">
        <v>53</v>
      </c>
      <c r="W16" s="33">
        <v>2046670</v>
      </c>
      <c r="X16" s="24"/>
      <c r="Y16" s="9">
        <v>10000</v>
      </c>
      <c r="Z16" s="9">
        <v>4000</v>
      </c>
      <c r="AA16" s="9">
        <v>2000</v>
      </c>
      <c r="AB16" s="9">
        <v>10500</v>
      </c>
      <c r="AC16" s="9">
        <v>3500</v>
      </c>
      <c r="AD16" s="9">
        <v>4900</v>
      </c>
      <c r="AE16" s="9">
        <v>4000</v>
      </c>
      <c r="AF16" s="9"/>
      <c r="AG16" s="11"/>
      <c r="AH16" s="68">
        <v>12000</v>
      </c>
      <c r="AI16" s="68">
        <v>27000</v>
      </c>
      <c r="AJ16" s="10"/>
      <c r="AK16" s="68">
        <v>1500</v>
      </c>
      <c r="AL16" s="68">
        <v>6000</v>
      </c>
      <c r="AM16" s="68">
        <v>16500</v>
      </c>
      <c r="AN16" s="21"/>
      <c r="AO16" s="20" t="s">
        <v>65</v>
      </c>
      <c r="AP16" s="10">
        <v>65000</v>
      </c>
      <c r="AQ16" s="11"/>
      <c r="AR16" s="32" t="s">
        <v>53</v>
      </c>
      <c r="AS16" s="33">
        <v>3076820</v>
      </c>
      <c r="AU16" s="9">
        <v>5800</v>
      </c>
      <c r="AV16" s="9">
        <v>5000</v>
      </c>
      <c r="AW16" s="9">
        <v>4000</v>
      </c>
      <c r="AX16" s="9">
        <v>4500</v>
      </c>
      <c r="AY16" s="9">
        <v>10000</v>
      </c>
      <c r="AZ16" s="9">
        <v>1000</v>
      </c>
      <c r="BA16" s="9">
        <v>39000</v>
      </c>
      <c r="BB16" s="9"/>
      <c r="BC16" s="11"/>
      <c r="BD16" s="68">
        <v>10000</v>
      </c>
      <c r="BE16" s="68">
        <v>5000</v>
      </c>
      <c r="BF16" s="10"/>
      <c r="BG16" s="68">
        <v>8000</v>
      </c>
      <c r="BH16" s="68">
        <v>5000</v>
      </c>
      <c r="BI16" s="68">
        <v>11500</v>
      </c>
      <c r="BJ16" s="21"/>
      <c r="BK16" s="20" t="s">
        <v>178</v>
      </c>
      <c r="BL16" s="10">
        <v>142500</v>
      </c>
      <c r="BM16" s="11"/>
      <c r="BN16" s="32" t="s">
        <v>53</v>
      </c>
      <c r="BO16" s="33">
        <v>2206440</v>
      </c>
      <c r="BQ16" s="9">
        <v>19400</v>
      </c>
      <c r="BR16" s="9">
        <v>20000</v>
      </c>
      <c r="BS16" s="9">
        <v>2500</v>
      </c>
      <c r="BT16" s="9">
        <v>5000</v>
      </c>
      <c r="BU16" s="9">
        <v>300</v>
      </c>
      <c r="BV16" s="9">
        <v>12500</v>
      </c>
      <c r="BW16" s="9">
        <v>12400</v>
      </c>
      <c r="BX16" s="9">
        <v>6500</v>
      </c>
      <c r="BY16" s="11"/>
      <c r="BZ16" s="68">
        <v>38500</v>
      </c>
      <c r="CA16" s="68">
        <v>7500</v>
      </c>
      <c r="CB16" s="68">
        <v>2880</v>
      </c>
      <c r="CC16" s="68">
        <v>12000</v>
      </c>
      <c r="CD16" s="68">
        <v>43000</v>
      </c>
      <c r="CE16" s="68">
        <v>54000</v>
      </c>
      <c r="CF16" s="21"/>
      <c r="CG16" s="20" t="s">
        <v>151</v>
      </c>
      <c r="CH16" s="10">
        <v>40900</v>
      </c>
      <c r="CI16" s="11"/>
      <c r="CJ16" s="32" t="s">
        <v>53</v>
      </c>
      <c r="CK16" s="33">
        <v>1436380</v>
      </c>
      <c r="CL16" s="31"/>
      <c r="CM16" s="9"/>
      <c r="CN16" s="9"/>
      <c r="CO16" s="9"/>
      <c r="CP16" s="9"/>
      <c r="CQ16" s="9"/>
      <c r="CR16" s="9"/>
      <c r="CS16" s="9"/>
      <c r="CT16" s="11"/>
      <c r="CU16" s="10"/>
      <c r="CV16" s="10"/>
      <c r="CW16" s="10"/>
      <c r="CX16" s="10"/>
      <c r="CY16" s="21"/>
      <c r="CZ16" s="20"/>
      <c r="DA16" s="10"/>
      <c r="DB16" s="11"/>
      <c r="DC16" s="32" t="s">
        <v>53</v>
      </c>
      <c r="DD16" s="33"/>
    </row>
    <row r="17" ht="15.75" customHeight="1" spans="1:108">
      <c r="A17" s="9">
        <v>13000</v>
      </c>
      <c r="B17" s="9">
        <v>2000</v>
      </c>
      <c r="C17" s="9">
        <v>2500</v>
      </c>
      <c r="D17" s="9">
        <v>5500</v>
      </c>
      <c r="E17" s="9">
        <v>800</v>
      </c>
      <c r="F17" s="9">
        <v>2500</v>
      </c>
      <c r="G17" s="9">
        <v>8300</v>
      </c>
      <c r="H17" s="9">
        <v>8000</v>
      </c>
      <c r="I17" s="9"/>
      <c r="J17" s="11"/>
      <c r="K17" s="68">
        <v>9130</v>
      </c>
      <c r="L17" s="68">
        <v>5000</v>
      </c>
      <c r="M17" s="68">
        <v>3400</v>
      </c>
      <c r="N17" s="68">
        <v>13000</v>
      </c>
      <c r="O17" s="68">
        <v>15000</v>
      </c>
      <c r="P17" s="68">
        <v>16500</v>
      </c>
      <c r="Q17" s="68">
        <v>4000</v>
      </c>
      <c r="R17" s="21"/>
      <c r="S17" s="20" t="s">
        <v>130</v>
      </c>
      <c r="T17" s="10">
        <v>89500</v>
      </c>
      <c r="U17" s="11"/>
      <c r="V17" s="24"/>
      <c r="W17" s="72">
        <v>392000</v>
      </c>
      <c r="X17" s="24"/>
      <c r="Y17" s="9">
        <v>12000</v>
      </c>
      <c r="Z17" s="9">
        <v>9500</v>
      </c>
      <c r="AA17" s="9">
        <v>1500</v>
      </c>
      <c r="AB17" s="9">
        <v>18000</v>
      </c>
      <c r="AC17" s="9">
        <v>2500</v>
      </c>
      <c r="AD17" s="9">
        <v>1000</v>
      </c>
      <c r="AE17" s="9">
        <v>1600</v>
      </c>
      <c r="AF17" s="9"/>
      <c r="AG17" s="11"/>
      <c r="AH17" s="68">
        <v>6500</v>
      </c>
      <c r="AI17" s="68">
        <v>147000</v>
      </c>
      <c r="AJ17" s="10"/>
      <c r="AK17" s="68">
        <v>4000</v>
      </c>
      <c r="AL17" s="68">
        <v>2500</v>
      </c>
      <c r="AM17" s="68">
        <v>11000</v>
      </c>
      <c r="AN17" s="21"/>
      <c r="AO17" s="20" t="s">
        <v>16</v>
      </c>
      <c r="AP17" s="10">
        <v>318300</v>
      </c>
      <c r="AQ17" s="11"/>
      <c r="AR17" s="24"/>
      <c r="AS17" s="72">
        <v>55770</v>
      </c>
      <c r="AU17" s="9">
        <v>3000</v>
      </c>
      <c r="AV17" s="9">
        <v>2500</v>
      </c>
      <c r="AW17" s="9">
        <v>2500</v>
      </c>
      <c r="AX17" s="9">
        <v>800</v>
      </c>
      <c r="AY17" s="9">
        <v>1000</v>
      </c>
      <c r="AZ17" s="9">
        <v>9500</v>
      </c>
      <c r="BA17" s="9">
        <v>4500</v>
      </c>
      <c r="BB17" s="9"/>
      <c r="BC17" s="11"/>
      <c r="BD17" s="68">
        <v>8640</v>
      </c>
      <c r="BE17" s="68">
        <v>2000</v>
      </c>
      <c r="BF17" s="10"/>
      <c r="BG17" s="68">
        <v>10000</v>
      </c>
      <c r="BH17" s="68">
        <v>1000</v>
      </c>
      <c r="BI17" s="68">
        <v>5000</v>
      </c>
      <c r="BJ17" s="21"/>
      <c r="BK17" s="20"/>
      <c r="BL17" s="10"/>
      <c r="BM17" s="11"/>
      <c r="BN17" s="24"/>
      <c r="BO17" s="72">
        <v>8000</v>
      </c>
      <c r="BQ17" s="9">
        <v>8000</v>
      </c>
      <c r="BR17" s="9">
        <v>10000</v>
      </c>
      <c r="BS17" s="9">
        <v>10000</v>
      </c>
      <c r="BT17" s="9">
        <v>500</v>
      </c>
      <c r="BU17" s="9">
        <v>6000</v>
      </c>
      <c r="BV17" s="9">
        <v>17000</v>
      </c>
      <c r="BW17" s="9">
        <v>3000</v>
      </c>
      <c r="BX17" s="9">
        <v>800</v>
      </c>
      <c r="BY17" s="11"/>
      <c r="BZ17" s="68">
        <v>80800</v>
      </c>
      <c r="CA17" s="68">
        <v>85000</v>
      </c>
      <c r="CB17" s="68">
        <v>2300</v>
      </c>
      <c r="CC17" s="68">
        <v>15000</v>
      </c>
      <c r="CD17" s="68">
        <v>2500</v>
      </c>
      <c r="CE17" s="10"/>
      <c r="CF17" s="21"/>
      <c r="CG17" s="20" t="s">
        <v>88</v>
      </c>
      <c r="CH17" s="10">
        <v>84800</v>
      </c>
      <c r="CI17" s="11"/>
      <c r="CJ17" s="72">
        <v>30000</v>
      </c>
      <c r="CK17" s="72">
        <v>628610</v>
      </c>
      <c r="CL17" s="31"/>
      <c r="CM17" s="9"/>
      <c r="CN17" s="9"/>
      <c r="CO17" s="9"/>
      <c r="CP17" s="9"/>
      <c r="CQ17" s="9"/>
      <c r="CR17" s="9"/>
      <c r="CS17" s="9"/>
      <c r="CT17" s="11"/>
      <c r="CU17" s="10"/>
      <c r="CV17" s="10"/>
      <c r="CW17" s="10"/>
      <c r="CX17" s="10"/>
      <c r="CY17" s="21"/>
      <c r="CZ17" s="20"/>
      <c r="DA17" s="10"/>
      <c r="DB17" s="11"/>
      <c r="DC17" s="24"/>
      <c r="DD17" s="31"/>
    </row>
    <row r="18" ht="15.75" customHeight="1" spans="1:106">
      <c r="A18" s="9">
        <v>2000</v>
      </c>
      <c r="B18" s="9">
        <v>4500</v>
      </c>
      <c r="C18" s="9">
        <v>6000</v>
      </c>
      <c r="D18" s="9">
        <v>8500</v>
      </c>
      <c r="E18" s="9">
        <v>6500</v>
      </c>
      <c r="F18" s="9">
        <v>11000</v>
      </c>
      <c r="G18" s="9">
        <v>5000</v>
      </c>
      <c r="H18" s="9">
        <v>3800</v>
      </c>
      <c r="I18" s="9"/>
      <c r="J18" s="11"/>
      <c r="K18" s="68">
        <v>3960</v>
      </c>
      <c r="L18" s="68">
        <v>6000</v>
      </c>
      <c r="M18" s="68">
        <v>37000</v>
      </c>
      <c r="N18" s="68">
        <v>55200</v>
      </c>
      <c r="O18" s="68">
        <v>2000</v>
      </c>
      <c r="P18" s="68">
        <v>11000</v>
      </c>
      <c r="Q18" s="68">
        <v>6800</v>
      </c>
      <c r="R18" s="21"/>
      <c r="S18" s="20"/>
      <c r="T18" s="10"/>
      <c r="U18" s="11"/>
      <c r="W18" s="72">
        <v>80000</v>
      </c>
      <c r="X18" s="24"/>
      <c r="Y18" s="9">
        <v>1500</v>
      </c>
      <c r="Z18" s="9">
        <v>4000</v>
      </c>
      <c r="AA18" s="9">
        <v>12000</v>
      </c>
      <c r="AB18" s="9">
        <v>9000</v>
      </c>
      <c r="AC18" s="9">
        <v>6000</v>
      </c>
      <c r="AD18" s="9">
        <v>1000</v>
      </c>
      <c r="AE18" s="9">
        <v>8500</v>
      </c>
      <c r="AF18" s="9"/>
      <c r="AG18" s="11"/>
      <c r="AH18" s="68">
        <v>76500</v>
      </c>
      <c r="AI18" s="68">
        <v>5000</v>
      </c>
      <c r="AJ18" s="10"/>
      <c r="AK18" s="68">
        <v>5000</v>
      </c>
      <c r="AL18" s="68">
        <v>4500</v>
      </c>
      <c r="AM18" s="68">
        <v>1600</v>
      </c>
      <c r="AN18" s="21"/>
      <c r="AO18" s="20" t="s">
        <v>179</v>
      </c>
      <c r="AP18" s="10">
        <v>472590</v>
      </c>
      <c r="AQ18" s="11"/>
      <c r="AS18" s="72">
        <v>726100</v>
      </c>
      <c r="AU18" s="9">
        <v>3000</v>
      </c>
      <c r="AV18" s="9">
        <v>500</v>
      </c>
      <c r="AW18" s="9">
        <v>4200</v>
      </c>
      <c r="AX18" s="9">
        <v>12000</v>
      </c>
      <c r="AY18" s="9">
        <v>4500</v>
      </c>
      <c r="AZ18" s="9">
        <v>1600</v>
      </c>
      <c r="BA18" s="9">
        <v>1500</v>
      </c>
      <c r="BB18" s="9"/>
      <c r="BC18" s="11"/>
      <c r="BD18" s="68">
        <v>40350</v>
      </c>
      <c r="BE18" s="68">
        <v>10000</v>
      </c>
      <c r="BF18" s="10"/>
      <c r="BG18" s="68">
        <v>15800</v>
      </c>
      <c r="BH18" s="68">
        <v>9000</v>
      </c>
      <c r="BI18" s="68">
        <v>14000</v>
      </c>
      <c r="BJ18" s="21"/>
      <c r="BK18" s="20"/>
      <c r="BL18" s="10"/>
      <c r="BM18" s="11"/>
      <c r="BO18" s="72">
        <v>292390</v>
      </c>
      <c r="BQ18" s="9">
        <v>2000</v>
      </c>
      <c r="BR18" s="9">
        <v>12000</v>
      </c>
      <c r="BS18" s="9">
        <v>1000</v>
      </c>
      <c r="BT18" s="9">
        <v>2500</v>
      </c>
      <c r="BU18" s="9">
        <v>1000</v>
      </c>
      <c r="BV18" s="9">
        <v>4000</v>
      </c>
      <c r="BW18" s="9">
        <v>1500</v>
      </c>
      <c r="BX18" s="9">
        <v>7000</v>
      </c>
      <c r="BY18" s="11"/>
      <c r="BZ18" s="68">
        <v>68500</v>
      </c>
      <c r="CA18" s="68">
        <v>12500</v>
      </c>
      <c r="CB18" s="68">
        <v>28180</v>
      </c>
      <c r="CC18" s="68">
        <v>9000</v>
      </c>
      <c r="CD18" s="68">
        <v>6500</v>
      </c>
      <c r="CE18" s="10"/>
      <c r="CF18" s="21"/>
      <c r="CG18" s="20" t="s">
        <v>31</v>
      </c>
      <c r="CH18" s="10">
        <v>16000</v>
      </c>
      <c r="CI18" s="11"/>
      <c r="CK18" s="72">
        <v>15000</v>
      </c>
      <c r="CL18" s="24"/>
      <c r="CM18" s="9"/>
      <c r="CN18" s="9"/>
      <c r="CO18" s="9"/>
      <c r="CP18" s="9"/>
      <c r="CQ18" s="9"/>
      <c r="CR18" s="9"/>
      <c r="CS18" s="9"/>
      <c r="CT18" s="11"/>
      <c r="CU18" s="10"/>
      <c r="CV18" s="10"/>
      <c r="CW18" s="10"/>
      <c r="CX18" s="10"/>
      <c r="CY18" s="21"/>
      <c r="CZ18" s="20"/>
      <c r="DA18" s="10"/>
      <c r="DB18" s="11"/>
    </row>
    <row r="19" ht="15.75" customHeight="1" spans="1:108">
      <c r="A19" s="9">
        <v>4500</v>
      </c>
      <c r="B19" s="9">
        <v>3200</v>
      </c>
      <c r="C19" s="9">
        <v>20000</v>
      </c>
      <c r="D19" s="9">
        <v>7500</v>
      </c>
      <c r="E19" s="9">
        <v>6000</v>
      </c>
      <c r="F19" s="9">
        <v>3500</v>
      </c>
      <c r="G19" s="9">
        <v>15200</v>
      </c>
      <c r="H19" s="9">
        <v>5500</v>
      </c>
      <c r="I19" s="9"/>
      <c r="J19" s="11"/>
      <c r="K19" s="68">
        <v>9610</v>
      </c>
      <c r="L19" s="68">
        <v>1700</v>
      </c>
      <c r="M19" s="68">
        <v>2500</v>
      </c>
      <c r="N19" s="68">
        <v>30490</v>
      </c>
      <c r="O19" s="68">
        <v>18800</v>
      </c>
      <c r="P19" s="68">
        <v>28500</v>
      </c>
      <c r="Q19" s="68">
        <v>19000</v>
      </c>
      <c r="R19" s="21"/>
      <c r="S19" s="20"/>
      <c r="T19" s="10"/>
      <c r="U19" s="11"/>
      <c r="V19" s="24"/>
      <c r="W19" s="72">
        <v>31800</v>
      </c>
      <c r="X19" s="24"/>
      <c r="Y19" s="9">
        <v>6000</v>
      </c>
      <c r="Z19" s="9">
        <v>3000</v>
      </c>
      <c r="AA19" s="9">
        <v>2400</v>
      </c>
      <c r="AB19" s="9">
        <v>19500</v>
      </c>
      <c r="AC19" s="9">
        <v>1000</v>
      </c>
      <c r="AD19" s="9">
        <v>2000</v>
      </c>
      <c r="AE19" s="9">
        <v>30800</v>
      </c>
      <c r="AF19" s="9"/>
      <c r="AG19" s="11"/>
      <c r="AH19" s="68">
        <v>55000</v>
      </c>
      <c r="AI19" s="68">
        <v>62000</v>
      </c>
      <c r="AJ19" s="10"/>
      <c r="AK19" s="68">
        <v>1900</v>
      </c>
      <c r="AL19" s="68">
        <v>20500</v>
      </c>
      <c r="AM19" s="68">
        <v>800</v>
      </c>
      <c r="AN19" s="21"/>
      <c r="AO19" s="20" t="s">
        <v>180</v>
      </c>
      <c r="AP19" s="10">
        <v>44150</v>
      </c>
      <c r="AQ19" s="11"/>
      <c r="AR19" s="24"/>
      <c r="AS19" s="72">
        <v>261660</v>
      </c>
      <c r="AU19" s="9">
        <v>2500</v>
      </c>
      <c r="AV19" s="9">
        <v>3500</v>
      </c>
      <c r="AW19" s="9">
        <v>1200</v>
      </c>
      <c r="AX19" s="9">
        <v>15200</v>
      </c>
      <c r="AY19" s="9">
        <v>3500</v>
      </c>
      <c r="AZ19" s="9">
        <v>30500</v>
      </c>
      <c r="BA19" s="9">
        <v>1500</v>
      </c>
      <c r="BB19" s="9"/>
      <c r="BC19" s="11"/>
      <c r="BD19" s="68">
        <v>6720</v>
      </c>
      <c r="BE19" s="68">
        <v>4000</v>
      </c>
      <c r="BF19" s="10"/>
      <c r="BG19" s="68">
        <v>28000</v>
      </c>
      <c r="BH19" s="68">
        <v>5000</v>
      </c>
      <c r="BI19" s="68">
        <v>6500</v>
      </c>
      <c r="BJ19" s="21"/>
      <c r="BK19" s="20"/>
      <c r="BL19" s="10"/>
      <c r="BM19" s="11"/>
      <c r="BN19" s="24"/>
      <c r="BO19" s="72">
        <v>485970</v>
      </c>
      <c r="BQ19" s="9">
        <v>800</v>
      </c>
      <c r="BR19" s="9">
        <v>10500</v>
      </c>
      <c r="BS19" s="9">
        <v>3500</v>
      </c>
      <c r="BT19" s="9">
        <v>500</v>
      </c>
      <c r="BU19" s="9">
        <v>4500</v>
      </c>
      <c r="BV19" s="9">
        <v>37500</v>
      </c>
      <c r="BW19" s="9">
        <v>1500</v>
      </c>
      <c r="BX19" s="9">
        <v>8000</v>
      </c>
      <c r="BY19" s="11"/>
      <c r="BZ19" s="68">
        <v>20000</v>
      </c>
      <c r="CA19" s="68">
        <v>3000</v>
      </c>
      <c r="CB19" s="68">
        <v>32660</v>
      </c>
      <c r="CC19" s="68">
        <v>5500</v>
      </c>
      <c r="CD19" s="68">
        <v>8000</v>
      </c>
      <c r="CE19" s="10"/>
      <c r="CF19" s="21"/>
      <c r="CG19" s="20" t="s">
        <v>130</v>
      </c>
      <c r="CH19" s="10">
        <v>30000</v>
      </c>
      <c r="CI19" s="11"/>
      <c r="CJ19" s="24"/>
      <c r="CK19" s="72">
        <v>10600</v>
      </c>
      <c r="CL19" s="31"/>
      <c r="CM19" s="9"/>
      <c r="CN19" s="9"/>
      <c r="CO19" s="9"/>
      <c r="CP19" s="9"/>
      <c r="CQ19" s="9"/>
      <c r="CR19" s="9"/>
      <c r="CS19" s="9"/>
      <c r="CT19" s="11"/>
      <c r="CU19" s="10"/>
      <c r="CV19" s="10"/>
      <c r="CW19" s="10"/>
      <c r="CX19" s="10"/>
      <c r="CY19" s="21"/>
      <c r="CZ19" s="20"/>
      <c r="DA19" s="10"/>
      <c r="DB19" s="11"/>
      <c r="DC19" s="24"/>
      <c r="DD19" s="31"/>
    </row>
    <row r="20" ht="15" customHeight="1" spans="1:108">
      <c r="A20" s="9">
        <v>2500</v>
      </c>
      <c r="B20" s="9">
        <v>3500</v>
      </c>
      <c r="C20" s="9">
        <v>4500</v>
      </c>
      <c r="D20" s="9">
        <v>20500</v>
      </c>
      <c r="E20" s="9">
        <v>3500</v>
      </c>
      <c r="F20" s="9">
        <v>14000</v>
      </c>
      <c r="G20" s="9">
        <v>14950</v>
      </c>
      <c r="H20" s="9">
        <v>3000</v>
      </c>
      <c r="I20" s="9"/>
      <c r="J20" s="11"/>
      <c r="K20" s="68">
        <v>4800</v>
      </c>
      <c r="L20" s="68">
        <v>13000</v>
      </c>
      <c r="M20" s="68">
        <v>2000</v>
      </c>
      <c r="N20" s="68">
        <v>10980</v>
      </c>
      <c r="O20" s="68">
        <v>6000</v>
      </c>
      <c r="P20" s="68">
        <v>3400</v>
      </c>
      <c r="Q20" s="10"/>
      <c r="R20" s="21"/>
      <c r="S20" s="20"/>
      <c r="T20" s="10"/>
      <c r="U20" s="11"/>
      <c r="V20" s="24"/>
      <c r="W20" s="72"/>
      <c r="X20" s="24"/>
      <c r="Y20" s="9">
        <v>1000</v>
      </c>
      <c r="Z20" s="9">
        <v>8250</v>
      </c>
      <c r="AA20" s="9">
        <v>5000</v>
      </c>
      <c r="AB20" s="9">
        <v>3000</v>
      </c>
      <c r="AC20" s="9">
        <v>2000</v>
      </c>
      <c r="AD20" s="9">
        <v>3500</v>
      </c>
      <c r="AE20" s="9">
        <v>1500</v>
      </c>
      <c r="AF20" s="9"/>
      <c r="AG20" s="11"/>
      <c r="AH20" s="68">
        <v>5800</v>
      </c>
      <c r="AI20" s="68">
        <v>11200</v>
      </c>
      <c r="AJ20" s="10"/>
      <c r="AK20" s="68">
        <v>26900</v>
      </c>
      <c r="AL20" s="68">
        <v>7000</v>
      </c>
      <c r="AM20" s="68">
        <v>7000</v>
      </c>
      <c r="AN20" s="21"/>
      <c r="AO20" s="20" t="s">
        <v>37</v>
      </c>
      <c r="AP20" s="10">
        <v>381400</v>
      </c>
      <c r="AQ20" s="11"/>
      <c r="AR20" s="24"/>
      <c r="AS20" s="72">
        <v>80000</v>
      </c>
      <c r="AU20" s="9">
        <v>2000</v>
      </c>
      <c r="AV20" s="9">
        <v>8500</v>
      </c>
      <c r="AW20" s="9">
        <v>6700</v>
      </c>
      <c r="AX20" s="9">
        <v>3500</v>
      </c>
      <c r="AY20" s="9">
        <v>4700</v>
      </c>
      <c r="AZ20" s="9">
        <v>12000</v>
      </c>
      <c r="BA20" s="9">
        <v>4000</v>
      </c>
      <c r="BB20" s="9"/>
      <c r="BC20" s="11"/>
      <c r="BD20" s="68">
        <v>5440</v>
      </c>
      <c r="BE20" s="68">
        <v>25550</v>
      </c>
      <c r="BF20" s="10"/>
      <c r="BG20" s="68">
        <v>5000</v>
      </c>
      <c r="BH20" s="68">
        <v>5500</v>
      </c>
      <c r="BI20" s="68">
        <v>500</v>
      </c>
      <c r="BJ20" s="21"/>
      <c r="BK20" s="20"/>
      <c r="BL20" s="10"/>
      <c r="BM20" s="11"/>
      <c r="BN20" s="24"/>
      <c r="BO20" s="72">
        <v>200000</v>
      </c>
      <c r="BQ20" s="9">
        <v>7000</v>
      </c>
      <c r="BR20" s="9">
        <v>1200</v>
      </c>
      <c r="BS20" s="9">
        <v>2000</v>
      </c>
      <c r="BT20" s="9">
        <v>40000</v>
      </c>
      <c r="BU20" s="9">
        <v>12000</v>
      </c>
      <c r="BV20" s="9">
        <v>2000</v>
      </c>
      <c r="BW20" s="9">
        <v>2000</v>
      </c>
      <c r="BX20" s="9">
        <v>6000</v>
      </c>
      <c r="BY20" s="11"/>
      <c r="BZ20" s="68">
        <v>7000</v>
      </c>
      <c r="CA20" s="68">
        <v>11000</v>
      </c>
      <c r="CB20" s="68">
        <v>8070</v>
      </c>
      <c r="CC20" s="68">
        <v>5500</v>
      </c>
      <c r="CD20" s="68">
        <v>6000</v>
      </c>
      <c r="CE20" s="10"/>
      <c r="CF20" s="21"/>
      <c r="CG20" s="20" t="s">
        <v>16</v>
      </c>
      <c r="CH20" s="10">
        <v>826000</v>
      </c>
      <c r="CI20" s="11"/>
      <c r="CJ20" s="24"/>
      <c r="CK20" s="72">
        <v>10600</v>
      </c>
      <c r="CL20" s="24"/>
      <c r="CM20" s="9"/>
      <c r="CN20" s="9"/>
      <c r="CO20" s="9"/>
      <c r="CP20" s="9"/>
      <c r="CQ20" s="9"/>
      <c r="CR20" s="9"/>
      <c r="CS20" s="9"/>
      <c r="CT20" s="11"/>
      <c r="CU20" s="10"/>
      <c r="CV20" s="10"/>
      <c r="CW20" s="10"/>
      <c r="CX20" s="10"/>
      <c r="CY20" s="21"/>
      <c r="CZ20" s="20"/>
      <c r="DA20" s="10"/>
      <c r="DB20" s="11"/>
      <c r="DC20" s="24"/>
      <c r="DD20" s="31"/>
    </row>
    <row r="21" ht="15" customHeight="1" spans="1:108">
      <c r="A21" s="9">
        <v>1000</v>
      </c>
      <c r="B21" s="9">
        <v>2000</v>
      </c>
      <c r="C21" s="9">
        <v>9000</v>
      </c>
      <c r="D21" s="9">
        <v>6300</v>
      </c>
      <c r="E21" s="9">
        <v>14000</v>
      </c>
      <c r="F21" s="9">
        <v>20500</v>
      </c>
      <c r="G21" s="9">
        <v>7000</v>
      </c>
      <c r="H21" s="9">
        <v>5000</v>
      </c>
      <c r="I21" s="9"/>
      <c r="J21" s="11"/>
      <c r="K21" s="68">
        <v>14410</v>
      </c>
      <c r="L21" s="68">
        <v>11450</v>
      </c>
      <c r="M21" s="68">
        <v>6500</v>
      </c>
      <c r="N21" s="68">
        <v>4000</v>
      </c>
      <c r="O21" s="68">
        <v>8700</v>
      </c>
      <c r="P21" s="68">
        <v>6000</v>
      </c>
      <c r="Q21" s="10"/>
      <c r="R21" s="21"/>
      <c r="S21" s="20"/>
      <c r="T21" s="10"/>
      <c r="U21" s="11"/>
      <c r="V21" s="24"/>
      <c r="W21" s="72"/>
      <c r="X21" s="24"/>
      <c r="Y21" s="9">
        <v>6700</v>
      </c>
      <c r="Z21" s="9">
        <v>13000</v>
      </c>
      <c r="AA21" s="9">
        <v>33000</v>
      </c>
      <c r="AB21" s="9">
        <v>5000</v>
      </c>
      <c r="AC21" s="9">
        <v>42500</v>
      </c>
      <c r="AD21" s="9">
        <v>1000</v>
      </c>
      <c r="AE21" s="9">
        <v>3500</v>
      </c>
      <c r="AF21" s="9"/>
      <c r="AG21" s="11"/>
      <c r="AH21" s="68">
        <v>26000</v>
      </c>
      <c r="AI21" s="68">
        <v>2000</v>
      </c>
      <c r="AJ21" s="10"/>
      <c r="AK21" s="68">
        <v>59000</v>
      </c>
      <c r="AL21" s="68">
        <v>28800</v>
      </c>
      <c r="AM21" s="68">
        <v>2500</v>
      </c>
      <c r="AN21" s="21"/>
      <c r="AO21" s="20" t="s">
        <v>130</v>
      </c>
      <c r="AP21" s="10">
        <v>28800</v>
      </c>
      <c r="AQ21" s="11"/>
      <c r="AR21" s="24"/>
      <c r="AS21" s="72">
        <v>472590</v>
      </c>
      <c r="AU21" s="9">
        <v>5500</v>
      </c>
      <c r="AV21" s="9">
        <v>14500</v>
      </c>
      <c r="AW21" s="9">
        <v>700</v>
      </c>
      <c r="AX21" s="9">
        <v>17000</v>
      </c>
      <c r="AY21" s="9">
        <v>12000</v>
      </c>
      <c r="AZ21" s="9">
        <v>24800</v>
      </c>
      <c r="BA21" s="9">
        <v>9500</v>
      </c>
      <c r="BB21" s="9"/>
      <c r="BC21" s="11"/>
      <c r="BD21" s="68">
        <v>5000</v>
      </c>
      <c r="BE21" s="68">
        <v>7630</v>
      </c>
      <c r="BF21" s="10"/>
      <c r="BG21" s="68">
        <v>9000</v>
      </c>
      <c r="BH21" s="68">
        <v>15000</v>
      </c>
      <c r="BI21" s="68">
        <v>4000</v>
      </c>
      <c r="BJ21" s="21"/>
      <c r="BK21" s="20"/>
      <c r="BL21" s="10"/>
      <c r="BM21" s="11"/>
      <c r="BN21" s="24"/>
      <c r="BO21" s="72">
        <v>12000</v>
      </c>
      <c r="BQ21" s="9">
        <v>9000</v>
      </c>
      <c r="BR21" s="9">
        <v>14000</v>
      </c>
      <c r="BS21" s="9">
        <v>6000</v>
      </c>
      <c r="BT21" s="9">
        <v>13500</v>
      </c>
      <c r="BU21" s="9">
        <v>5000</v>
      </c>
      <c r="BV21" s="9">
        <v>18000</v>
      </c>
      <c r="BW21" s="9">
        <v>9000</v>
      </c>
      <c r="BX21" s="9">
        <v>1600</v>
      </c>
      <c r="BY21" s="11"/>
      <c r="BZ21" s="68">
        <v>2500</v>
      </c>
      <c r="CA21" s="68">
        <v>20650</v>
      </c>
      <c r="CB21" s="68">
        <v>17300</v>
      </c>
      <c r="CC21" s="68">
        <v>12000</v>
      </c>
      <c r="CD21" s="68">
        <v>11000</v>
      </c>
      <c r="CE21" s="10"/>
      <c r="CF21" s="21"/>
      <c r="CG21" s="20"/>
      <c r="CH21" s="10"/>
      <c r="CI21" s="11"/>
      <c r="CJ21" s="24"/>
      <c r="CK21" s="72">
        <v>742340</v>
      </c>
      <c r="CL21" s="24"/>
      <c r="CM21" s="9"/>
      <c r="CN21" s="9"/>
      <c r="CO21" s="9"/>
      <c r="CP21" s="9"/>
      <c r="CQ21" s="9"/>
      <c r="CR21" s="9"/>
      <c r="CS21" s="9"/>
      <c r="CT21" s="11"/>
      <c r="CU21" s="10"/>
      <c r="CV21" s="10"/>
      <c r="CW21" s="10"/>
      <c r="CX21" s="10"/>
      <c r="CY21" s="21"/>
      <c r="CZ21" s="20"/>
      <c r="DA21" s="10"/>
      <c r="DB21" s="11"/>
      <c r="DC21" s="24"/>
      <c r="DD21" s="31"/>
    </row>
    <row r="22" ht="15.75" customHeight="1" spans="1:108">
      <c r="A22" s="9">
        <v>30000</v>
      </c>
      <c r="B22" s="9">
        <v>2800</v>
      </c>
      <c r="C22" s="9">
        <v>40000</v>
      </c>
      <c r="D22" s="9">
        <v>1500</v>
      </c>
      <c r="E22" s="9">
        <v>76400</v>
      </c>
      <c r="F22" s="9">
        <v>3000</v>
      </c>
      <c r="G22" s="9">
        <v>3000</v>
      </c>
      <c r="H22" s="9">
        <v>13000</v>
      </c>
      <c r="I22" s="9"/>
      <c r="J22" s="11"/>
      <c r="K22" s="68">
        <v>16260</v>
      </c>
      <c r="L22" s="68">
        <v>28440</v>
      </c>
      <c r="M22" s="68">
        <v>4500</v>
      </c>
      <c r="N22" s="68">
        <v>10560</v>
      </c>
      <c r="O22" s="68">
        <v>8000</v>
      </c>
      <c r="P22" s="68">
        <v>1000</v>
      </c>
      <c r="Q22" s="10"/>
      <c r="R22" s="21"/>
      <c r="S22" s="20"/>
      <c r="T22" s="10"/>
      <c r="U22" s="11"/>
      <c r="V22" s="24"/>
      <c r="W22" s="72"/>
      <c r="X22" s="24"/>
      <c r="Y22" s="9">
        <v>14000</v>
      </c>
      <c r="Z22" s="9">
        <v>700</v>
      </c>
      <c r="AA22" s="9">
        <v>8000</v>
      </c>
      <c r="AB22" s="9">
        <v>9000</v>
      </c>
      <c r="AC22" s="9">
        <v>2000</v>
      </c>
      <c r="AD22" s="9">
        <v>2500</v>
      </c>
      <c r="AE22" s="9">
        <v>2200</v>
      </c>
      <c r="AF22" s="9"/>
      <c r="AG22" s="11"/>
      <c r="AH22" s="68">
        <v>1600</v>
      </c>
      <c r="AI22" s="68">
        <v>9500</v>
      </c>
      <c r="AJ22" s="10"/>
      <c r="AK22" s="68">
        <v>9400</v>
      </c>
      <c r="AL22" s="68">
        <v>4000</v>
      </c>
      <c r="AM22" s="68">
        <v>12800</v>
      </c>
      <c r="AN22" s="21"/>
      <c r="AO22" s="20" t="s">
        <v>116</v>
      </c>
      <c r="AP22" s="10">
        <v>97360</v>
      </c>
      <c r="AQ22" s="11"/>
      <c r="AR22" s="24"/>
      <c r="AS22" s="72">
        <v>381400</v>
      </c>
      <c r="AU22" s="9">
        <v>17400</v>
      </c>
      <c r="AV22" s="9">
        <v>700</v>
      </c>
      <c r="AW22" s="9">
        <v>19000</v>
      </c>
      <c r="AX22" s="9">
        <v>3000</v>
      </c>
      <c r="AY22" s="9">
        <v>2300</v>
      </c>
      <c r="AZ22" s="9">
        <v>2100</v>
      </c>
      <c r="BA22" s="9">
        <v>20000</v>
      </c>
      <c r="BB22" s="9"/>
      <c r="BC22" s="11"/>
      <c r="BD22" s="68">
        <v>5000</v>
      </c>
      <c r="BE22" s="68">
        <v>13500</v>
      </c>
      <c r="BF22" s="10"/>
      <c r="BG22" s="68">
        <v>5000</v>
      </c>
      <c r="BH22" s="68">
        <v>20000</v>
      </c>
      <c r="BI22" s="68">
        <v>6500</v>
      </c>
      <c r="BJ22" s="21"/>
      <c r="BK22" s="20"/>
      <c r="BL22" s="10"/>
      <c r="BM22" s="11"/>
      <c r="BN22" s="24"/>
      <c r="BO22" s="72">
        <v>223000</v>
      </c>
      <c r="BQ22" s="9">
        <v>2500</v>
      </c>
      <c r="BR22" s="9">
        <v>2000</v>
      </c>
      <c r="BS22" s="9">
        <v>8500</v>
      </c>
      <c r="BT22" s="9">
        <v>6000</v>
      </c>
      <c r="BU22" s="9">
        <v>3500</v>
      </c>
      <c r="BV22" s="9">
        <v>4500</v>
      </c>
      <c r="BW22" s="9">
        <v>5000</v>
      </c>
      <c r="BX22" s="9">
        <v>4500</v>
      </c>
      <c r="BY22" s="11"/>
      <c r="BZ22" s="68">
        <v>30000</v>
      </c>
      <c r="CA22" s="68">
        <v>8000</v>
      </c>
      <c r="CB22" s="68">
        <v>76500</v>
      </c>
      <c r="CC22" s="68">
        <v>7000</v>
      </c>
      <c r="CD22" s="68">
        <v>5000</v>
      </c>
      <c r="CE22" s="10"/>
      <c r="CF22" s="21"/>
      <c r="CG22" s="20"/>
      <c r="CH22" s="10"/>
      <c r="CI22" s="11"/>
      <c r="CJ22" s="24"/>
      <c r="CK22" s="72">
        <v>90000</v>
      </c>
      <c r="CL22" s="24"/>
      <c r="CM22" s="9"/>
      <c r="CN22" s="9"/>
      <c r="CO22" s="9"/>
      <c r="CP22" s="9"/>
      <c r="CQ22" s="9"/>
      <c r="CR22" s="9"/>
      <c r="CS22" s="9"/>
      <c r="CT22" s="11"/>
      <c r="CU22" s="10"/>
      <c r="CV22" s="10"/>
      <c r="CW22" s="10"/>
      <c r="CX22" s="10"/>
      <c r="CY22" s="21"/>
      <c r="CZ22" s="20"/>
      <c r="DA22" s="10"/>
      <c r="DB22" s="11"/>
      <c r="DC22" s="24"/>
      <c r="DD22" s="31"/>
    </row>
    <row r="23" spans="1:108">
      <c r="A23" s="9">
        <v>11000</v>
      </c>
      <c r="B23" s="9">
        <v>4500</v>
      </c>
      <c r="C23" s="9">
        <v>400</v>
      </c>
      <c r="D23" s="9">
        <v>6000</v>
      </c>
      <c r="E23" s="9">
        <v>1500</v>
      </c>
      <c r="F23" s="9">
        <v>9000</v>
      </c>
      <c r="G23" s="9">
        <v>4000</v>
      </c>
      <c r="H23" s="9">
        <v>3500</v>
      </c>
      <c r="I23" s="9"/>
      <c r="J23" s="11"/>
      <c r="K23" s="68">
        <v>7620</v>
      </c>
      <c r="L23" s="68">
        <v>21520</v>
      </c>
      <c r="M23" s="68">
        <v>6000</v>
      </c>
      <c r="N23" s="68">
        <v>4500</v>
      </c>
      <c r="O23" s="68">
        <v>6000</v>
      </c>
      <c r="P23" s="68">
        <v>5000</v>
      </c>
      <c r="Q23" s="10"/>
      <c r="R23" s="21"/>
      <c r="S23" s="20"/>
      <c r="T23" s="10"/>
      <c r="U23" s="11"/>
      <c r="V23" s="24"/>
      <c r="W23" s="72"/>
      <c r="X23" s="24"/>
      <c r="Y23" s="9">
        <v>5000</v>
      </c>
      <c r="Z23" s="9">
        <v>5800</v>
      </c>
      <c r="AA23" s="9">
        <v>2500</v>
      </c>
      <c r="AB23" s="9">
        <v>9500</v>
      </c>
      <c r="AC23" s="9">
        <v>10500</v>
      </c>
      <c r="AD23" s="9">
        <v>1500</v>
      </c>
      <c r="AE23" s="9">
        <v>20800</v>
      </c>
      <c r="AF23" s="9"/>
      <c r="AG23" s="11"/>
      <c r="AH23" s="68">
        <v>6240</v>
      </c>
      <c r="AI23" s="68">
        <v>850</v>
      </c>
      <c r="AJ23" s="10"/>
      <c r="AK23" s="68">
        <v>4500</v>
      </c>
      <c r="AL23" s="68">
        <v>3000</v>
      </c>
      <c r="AM23" s="68">
        <v>5000</v>
      </c>
      <c r="AN23" s="21"/>
      <c r="AO23" s="20"/>
      <c r="AP23" s="10"/>
      <c r="AQ23" s="11"/>
      <c r="AR23" s="24"/>
      <c r="AS23" s="72">
        <v>97360</v>
      </c>
      <c r="AU23" s="9">
        <v>7000</v>
      </c>
      <c r="AV23" s="9">
        <v>50000</v>
      </c>
      <c r="AW23" s="9">
        <v>700</v>
      </c>
      <c r="AX23" s="9">
        <v>600</v>
      </c>
      <c r="AY23" s="9">
        <v>12000</v>
      </c>
      <c r="AZ23" s="9">
        <v>5000</v>
      </c>
      <c r="BA23" s="9">
        <v>10000</v>
      </c>
      <c r="BB23" s="9"/>
      <c r="BC23" s="11"/>
      <c r="BD23" s="68">
        <v>15000</v>
      </c>
      <c r="BE23" s="68">
        <v>15000</v>
      </c>
      <c r="BF23" s="10"/>
      <c r="BG23" s="68">
        <v>12500</v>
      </c>
      <c r="BH23" s="68">
        <v>4500</v>
      </c>
      <c r="BI23" s="10"/>
      <c r="BJ23" s="21"/>
      <c r="BK23" s="20"/>
      <c r="BL23" s="10"/>
      <c r="BM23" s="11"/>
      <c r="BN23" s="24"/>
      <c r="BO23" s="72"/>
      <c r="BQ23" s="9">
        <v>29500</v>
      </c>
      <c r="BR23" s="9">
        <v>2000</v>
      </c>
      <c r="BS23" s="9">
        <v>5000</v>
      </c>
      <c r="BT23" s="9">
        <v>4500</v>
      </c>
      <c r="BU23" s="9">
        <v>5500</v>
      </c>
      <c r="BV23" s="9">
        <v>1000</v>
      </c>
      <c r="BW23" s="9">
        <v>20000</v>
      </c>
      <c r="BX23" s="9">
        <v>1600</v>
      </c>
      <c r="BY23" s="11"/>
      <c r="BZ23" s="68">
        <v>6500</v>
      </c>
      <c r="CA23" s="68">
        <v>23000</v>
      </c>
      <c r="CB23" s="68">
        <v>4610</v>
      </c>
      <c r="CC23" s="68">
        <v>3000</v>
      </c>
      <c r="CD23" s="68">
        <v>3000</v>
      </c>
      <c r="CE23" s="10"/>
      <c r="CF23" s="21"/>
      <c r="CG23" s="20"/>
      <c r="CH23" s="10"/>
      <c r="CI23" s="11"/>
      <c r="CJ23" s="24"/>
      <c r="CK23" s="72">
        <v>468400</v>
      </c>
      <c r="CL23" s="24"/>
      <c r="CM23" s="9"/>
      <c r="CN23" s="9"/>
      <c r="CO23" s="9"/>
      <c r="CP23" s="9"/>
      <c r="CQ23" s="9"/>
      <c r="CR23" s="9"/>
      <c r="CS23" s="9"/>
      <c r="CT23" s="11"/>
      <c r="CU23" s="10"/>
      <c r="CV23" s="10"/>
      <c r="CW23" s="10"/>
      <c r="CX23" s="10"/>
      <c r="CY23" s="21"/>
      <c r="CZ23" s="20"/>
      <c r="DA23" s="10"/>
      <c r="DB23" s="11"/>
      <c r="DC23" s="24"/>
      <c r="DD23" s="31"/>
    </row>
    <row r="24" spans="1:108">
      <c r="A24" s="9">
        <v>29000</v>
      </c>
      <c r="B24" s="9">
        <v>2000</v>
      </c>
      <c r="C24" s="9">
        <v>7500</v>
      </c>
      <c r="D24" s="9">
        <v>11500</v>
      </c>
      <c r="E24" s="9">
        <v>4500</v>
      </c>
      <c r="F24" s="9">
        <v>4500</v>
      </c>
      <c r="G24" s="9">
        <v>74000</v>
      </c>
      <c r="H24" s="9">
        <v>10000</v>
      </c>
      <c r="I24" s="9"/>
      <c r="J24" s="11"/>
      <c r="K24" s="68">
        <v>5000</v>
      </c>
      <c r="L24" s="68">
        <v>860</v>
      </c>
      <c r="M24" s="68">
        <v>62500</v>
      </c>
      <c r="N24" s="10"/>
      <c r="O24" s="68">
        <v>10000</v>
      </c>
      <c r="P24" s="68">
        <v>18500</v>
      </c>
      <c r="Q24" s="10"/>
      <c r="R24" s="21"/>
      <c r="S24" s="20"/>
      <c r="T24" s="10"/>
      <c r="U24" s="11"/>
      <c r="V24" s="24"/>
      <c r="W24" s="72"/>
      <c r="X24" s="24"/>
      <c r="Y24" s="9">
        <v>1800</v>
      </c>
      <c r="Z24" s="9">
        <v>17500</v>
      </c>
      <c r="AA24" s="9">
        <v>16000</v>
      </c>
      <c r="AB24" s="9">
        <v>15200</v>
      </c>
      <c r="AC24" s="9">
        <v>63000</v>
      </c>
      <c r="AD24" s="9">
        <v>3000</v>
      </c>
      <c r="AE24" s="9">
        <v>1000</v>
      </c>
      <c r="AF24" s="9"/>
      <c r="AG24" s="11"/>
      <c r="AH24" s="68">
        <v>24500</v>
      </c>
      <c r="AI24" s="68">
        <v>7000</v>
      </c>
      <c r="AJ24" s="10"/>
      <c r="AK24" s="68">
        <v>2000</v>
      </c>
      <c r="AL24" s="68">
        <v>14500</v>
      </c>
      <c r="AM24" s="68">
        <v>2500</v>
      </c>
      <c r="AN24" s="21"/>
      <c r="AO24" s="20"/>
      <c r="AP24" s="10"/>
      <c r="AQ24" s="11"/>
      <c r="AR24" s="24"/>
      <c r="AS24" s="72"/>
      <c r="AU24" s="9">
        <v>28500</v>
      </c>
      <c r="AV24" s="9">
        <v>10800</v>
      </c>
      <c r="AW24" s="9">
        <v>1500</v>
      </c>
      <c r="AX24" s="9">
        <v>14000</v>
      </c>
      <c r="AY24" s="9">
        <v>1000</v>
      </c>
      <c r="AZ24" s="9">
        <v>5000</v>
      </c>
      <c r="BA24" s="9">
        <v>32000</v>
      </c>
      <c r="BB24" s="9"/>
      <c r="BC24" s="11"/>
      <c r="BD24" s="68">
        <v>61500</v>
      </c>
      <c r="BE24" s="68">
        <v>16000</v>
      </c>
      <c r="BF24" s="10"/>
      <c r="BG24" s="68">
        <v>31200</v>
      </c>
      <c r="BH24" s="68">
        <v>8000</v>
      </c>
      <c r="BI24" s="10"/>
      <c r="BJ24" s="21"/>
      <c r="BK24" s="20"/>
      <c r="BL24" s="10"/>
      <c r="BM24" s="11"/>
      <c r="BN24" s="24"/>
      <c r="BO24" s="72"/>
      <c r="BQ24" s="9">
        <v>53700</v>
      </c>
      <c r="BR24" s="9">
        <v>3500</v>
      </c>
      <c r="BS24" s="9">
        <v>6000</v>
      </c>
      <c r="BT24" s="9">
        <v>7000</v>
      </c>
      <c r="BU24" s="9">
        <v>5000</v>
      </c>
      <c r="BV24" s="9">
        <v>18000</v>
      </c>
      <c r="BW24" s="9">
        <v>4000</v>
      </c>
      <c r="BX24" s="9">
        <v>4000</v>
      </c>
      <c r="BY24" s="11"/>
      <c r="BZ24" s="68">
        <v>25870</v>
      </c>
      <c r="CA24" s="68">
        <v>19000</v>
      </c>
      <c r="CB24" s="68">
        <v>4320</v>
      </c>
      <c r="CC24" s="68">
        <v>2000</v>
      </c>
      <c r="CD24" s="68">
        <v>3800</v>
      </c>
      <c r="CE24" s="10"/>
      <c r="CF24" s="21"/>
      <c r="CG24" s="20"/>
      <c r="CH24" s="10"/>
      <c r="CI24" s="11"/>
      <c r="CJ24" s="24"/>
      <c r="CK24" s="72">
        <v>12000</v>
      </c>
      <c r="CL24" s="24"/>
      <c r="CM24" s="9"/>
      <c r="CN24" s="9"/>
      <c r="CO24" s="9"/>
      <c r="CP24" s="9"/>
      <c r="CQ24" s="9"/>
      <c r="CR24" s="9"/>
      <c r="CS24" s="9"/>
      <c r="CT24" s="11"/>
      <c r="CU24" s="10"/>
      <c r="CV24" s="10"/>
      <c r="CW24" s="10"/>
      <c r="CX24" s="10"/>
      <c r="CY24" s="21"/>
      <c r="CZ24" s="20"/>
      <c r="DA24" s="10"/>
      <c r="DB24" s="11"/>
      <c r="DC24" s="24"/>
      <c r="DD24" s="24"/>
    </row>
    <row r="25" spans="1:108">
      <c r="A25" s="9">
        <v>58000</v>
      </c>
      <c r="B25" s="9">
        <v>7500</v>
      </c>
      <c r="C25" s="9">
        <v>2500</v>
      </c>
      <c r="D25" s="9">
        <v>800</v>
      </c>
      <c r="E25" s="9">
        <v>9000</v>
      </c>
      <c r="F25" s="9">
        <v>45000</v>
      </c>
      <c r="G25" s="9">
        <v>9000</v>
      </c>
      <c r="H25" s="9">
        <v>4500</v>
      </c>
      <c r="I25" s="9"/>
      <c r="J25" s="11"/>
      <c r="K25" s="68">
        <v>10570</v>
      </c>
      <c r="L25" s="68">
        <v>10160</v>
      </c>
      <c r="M25" s="68">
        <v>2000</v>
      </c>
      <c r="N25" s="10"/>
      <c r="O25" s="68">
        <v>5000</v>
      </c>
      <c r="P25" s="68">
        <v>2000</v>
      </c>
      <c r="Q25" s="10"/>
      <c r="R25" s="21"/>
      <c r="S25" s="20"/>
      <c r="T25" s="10"/>
      <c r="U25" s="11"/>
      <c r="V25" s="24"/>
      <c r="W25" s="72"/>
      <c r="X25" s="24"/>
      <c r="Y25" s="9">
        <v>15000</v>
      </c>
      <c r="Z25" s="9">
        <v>6000</v>
      </c>
      <c r="AA25" s="9">
        <v>2000</v>
      </c>
      <c r="AB25" s="9">
        <v>2000</v>
      </c>
      <c r="AC25" s="9">
        <v>4000</v>
      </c>
      <c r="AD25" s="9">
        <v>7000</v>
      </c>
      <c r="AE25" s="9">
        <v>1500</v>
      </c>
      <c r="AF25" s="9"/>
      <c r="AG25" s="11"/>
      <c r="AH25" s="68">
        <v>1200</v>
      </c>
      <c r="AI25" s="68">
        <v>4800</v>
      </c>
      <c r="AJ25" s="10"/>
      <c r="AK25" s="68">
        <v>25000</v>
      </c>
      <c r="AL25" s="68">
        <v>10000</v>
      </c>
      <c r="AM25" s="10"/>
      <c r="AN25" s="21"/>
      <c r="AO25" s="20"/>
      <c r="AP25" s="10"/>
      <c r="AQ25" s="11"/>
      <c r="AR25" s="24"/>
      <c r="AS25" s="72"/>
      <c r="AU25" s="9">
        <v>5500</v>
      </c>
      <c r="AV25" s="9">
        <v>5000</v>
      </c>
      <c r="AW25" s="9">
        <v>2400</v>
      </c>
      <c r="AX25" s="9">
        <v>2500</v>
      </c>
      <c r="AY25" s="9">
        <v>18000</v>
      </c>
      <c r="AZ25" s="9">
        <v>6000</v>
      </c>
      <c r="BA25" s="9">
        <v>10000</v>
      </c>
      <c r="BB25" s="9"/>
      <c r="BC25" s="11"/>
      <c r="BD25" s="68">
        <v>200</v>
      </c>
      <c r="BE25" s="68">
        <v>10500</v>
      </c>
      <c r="BF25" s="10"/>
      <c r="BG25" s="68">
        <v>4000</v>
      </c>
      <c r="BH25" s="68">
        <v>4000</v>
      </c>
      <c r="BI25" s="10"/>
      <c r="BJ25" s="21"/>
      <c r="BK25" s="20"/>
      <c r="BL25" s="10"/>
      <c r="BM25" s="11"/>
      <c r="BN25" s="24"/>
      <c r="BO25" s="72"/>
      <c r="BQ25" s="9">
        <v>1600</v>
      </c>
      <c r="BR25" s="9">
        <v>5500</v>
      </c>
      <c r="BS25" s="9">
        <v>1000</v>
      </c>
      <c r="BT25" s="9">
        <v>3000</v>
      </c>
      <c r="BU25" s="9">
        <v>3000</v>
      </c>
      <c r="BV25" s="9">
        <v>3000</v>
      </c>
      <c r="BW25" s="9">
        <v>3000</v>
      </c>
      <c r="BX25" s="9">
        <v>4000</v>
      </c>
      <c r="BY25" s="11"/>
      <c r="BZ25" s="68">
        <v>1540</v>
      </c>
      <c r="CA25" s="68">
        <v>30690</v>
      </c>
      <c r="CB25" s="68">
        <v>14800</v>
      </c>
      <c r="CC25" s="68">
        <v>40000</v>
      </c>
      <c r="CD25" s="68">
        <v>3000</v>
      </c>
      <c r="CE25" s="10"/>
      <c r="CF25" s="21"/>
      <c r="CG25" s="20"/>
      <c r="CH25" s="10"/>
      <c r="CI25" s="11"/>
      <c r="CJ25" s="24"/>
      <c r="CK25" s="72">
        <v>12000</v>
      </c>
      <c r="CL25" s="24"/>
      <c r="CM25" s="9"/>
      <c r="CN25" s="9"/>
      <c r="CO25" s="9"/>
      <c r="CP25" s="9"/>
      <c r="CQ25" s="9"/>
      <c r="CR25" s="9"/>
      <c r="CS25" s="9"/>
      <c r="CT25" s="11"/>
      <c r="CU25" s="10"/>
      <c r="CV25" s="10"/>
      <c r="CW25" s="10"/>
      <c r="CX25" s="10"/>
      <c r="CY25" s="21"/>
      <c r="CZ25" s="20"/>
      <c r="DA25" s="10"/>
      <c r="DB25" s="11"/>
      <c r="DC25" s="24"/>
      <c r="DD25" s="24"/>
    </row>
    <row r="26" spans="1:108">
      <c r="A26" s="9">
        <v>1500</v>
      </c>
      <c r="B26" s="9">
        <v>10500</v>
      </c>
      <c r="C26" s="9">
        <v>3500</v>
      </c>
      <c r="D26" s="9">
        <v>1000</v>
      </c>
      <c r="E26" s="9">
        <v>12000</v>
      </c>
      <c r="F26" s="9">
        <v>2500</v>
      </c>
      <c r="G26" s="9">
        <v>11000</v>
      </c>
      <c r="H26" s="9">
        <v>49000</v>
      </c>
      <c r="I26" s="9"/>
      <c r="J26" s="11"/>
      <c r="K26" s="68">
        <v>30000</v>
      </c>
      <c r="L26" s="68">
        <v>7200</v>
      </c>
      <c r="M26" s="68">
        <v>4500</v>
      </c>
      <c r="N26" s="10"/>
      <c r="O26" s="68">
        <v>4000</v>
      </c>
      <c r="P26" s="68">
        <v>6000</v>
      </c>
      <c r="Q26" s="10"/>
      <c r="R26" s="21"/>
      <c r="S26" s="20"/>
      <c r="T26" s="10"/>
      <c r="U26" s="11"/>
      <c r="V26" s="24"/>
      <c r="W26" s="72"/>
      <c r="X26" s="24"/>
      <c r="Y26" s="9">
        <v>65000</v>
      </c>
      <c r="Z26" s="9">
        <v>4000</v>
      </c>
      <c r="AA26" s="9">
        <v>3000</v>
      </c>
      <c r="AB26" s="9">
        <v>4500</v>
      </c>
      <c r="AC26" s="9">
        <v>1000</v>
      </c>
      <c r="AD26" s="9">
        <v>6500</v>
      </c>
      <c r="AE26" s="9">
        <v>10000</v>
      </c>
      <c r="AF26" s="9"/>
      <c r="AG26" s="11"/>
      <c r="AH26" s="68">
        <v>33030</v>
      </c>
      <c r="AI26" s="68">
        <v>7200</v>
      </c>
      <c r="AJ26" s="10"/>
      <c r="AK26" s="68">
        <v>3400</v>
      </c>
      <c r="AL26" s="68">
        <v>47000</v>
      </c>
      <c r="AM26" s="10"/>
      <c r="AN26" s="21"/>
      <c r="AO26" s="20"/>
      <c r="AP26" s="10"/>
      <c r="AQ26" s="11"/>
      <c r="AR26" s="24"/>
      <c r="AS26" s="72"/>
      <c r="AU26" s="9">
        <v>800</v>
      </c>
      <c r="AV26" s="9">
        <v>1500</v>
      </c>
      <c r="AW26" s="9">
        <v>5500</v>
      </c>
      <c r="AX26" s="9">
        <v>5000</v>
      </c>
      <c r="AY26" s="9">
        <v>20000</v>
      </c>
      <c r="AZ26" s="9">
        <v>18000</v>
      </c>
      <c r="BA26" s="9">
        <v>4300</v>
      </c>
      <c r="BB26" s="9"/>
      <c r="BC26" s="11"/>
      <c r="BD26" s="68">
        <v>8590</v>
      </c>
      <c r="BE26" s="68">
        <v>5500</v>
      </c>
      <c r="BF26" s="10"/>
      <c r="BG26" s="68">
        <v>6600</v>
      </c>
      <c r="BH26" s="68">
        <v>10000</v>
      </c>
      <c r="BI26" s="10"/>
      <c r="BJ26" s="21"/>
      <c r="BK26" s="20"/>
      <c r="BL26" s="10"/>
      <c r="BM26" s="11"/>
      <c r="BN26" s="24"/>
      <c r="BO26" s="72"/>
      <c r="BQ26" s="9">
        <v>5500</v>
      </c>
      <c r="BR26" s="9">
        <v>10500</v>
      </c>
      <c r="BS26" s="9">
        <v>1000</v>
      </c>
      <c r="BT26" s="9">
        <v>1000</v>
      </c>
      <c r="BU26" s="9">
        <v>8000</v>
      </c>
      <c r="BV26" s="9">
        <v>1000</v>
      </c>
      <c r="BW26" s="9">
        <v>2000</v>
      </c>
      <c r="BX26" s="9">
        <v>4500</v>
      </c>
      <c r="BY26" s="11"/>
      <c r="BZ26" s="68">
        <v>4320</v>
      </c>
      <c r="CA26" s="68">
        <v>1520</v>
      </c>
      <c r="CB26" s="10"/>
      <c r="CC26" s="68">
        <v>12000</v>
      </c>
      <c r="CD26" s="68">
        <v>2500</v>
      </c>
      <c r="CE26" s="10"/>
      <c r="CF26" s="21"/>
      <c r="CG26" s="20"/>
      <c r="CH26" s="10"/>
      <c r="CI26" s="11"/>
      <c r="CJ26" s="24"/>
      <c r="CK26" s="72">
        <v>5000</v>
      </c>
      <c r="CL26" s="24"/>
      <c r="CM26" s="9"/>
      <c r="CN26" s="9"/>
      <c r="CO26" s="9"/>
      <c r="CP26" s="9"/>
      <c r="CQ26" s="9"/>
      <c r="CR26" s="9"/>
      <c r="CS26" s="9"/>
      <c r="CT26" s="11"/>
      <c r="CU26" s="10"/>
      <c r="CV26" s="10"/>
      <c r="CW26" s="10"/>
      <c r="CX26" s="10"/>
      <c r="CY26" s="21"/>
      <c r="CZ26" s="20"/>
      <c r="DA26" s="10"/>
      <c r="DB26" s="11"/>
      <c r="DC26" s="24"/>
      <c r="DD26" s="24"/>
    </row>
    <row r="27" spans="1:108">
      <c r="A27" s="9">
        <v>8000</v>
      </c>
      <c r="B27" s="9">
        <v>10300</v>
      </c>
      <c r="C27" s="9">
        <v>11500</v>
      </c>
      <c r="D27" s="9">
        <v>3600</v>
      </c>
      <c r="E27" s="9">
        <v>2500</v>
      </c>
      <c r="F27" s="9">
        <v>9000</v>
      </c>
      <c r="G27" s="9">
        <v>3000</v>
      </c>
      <c r="H27" s="9">
        <v>13000</v>
      </c>
      <c r="I27" s="9"/>
      <c r="J27" s="11"/>
      <c r="K27" s="68">
        <v>28340</v>
      </c>
      <c r="L27" s="68">
        <v>60000</v>
      </c>
      <c r="M27" s="10"/>
      <c r="N27" s="10"/>
      <c r="O27" s="68">
        <v>300</v>
      </c>
      <c r="P27" s="68">
        <v>15000</v>
      </c>
      <c r="Q27" s="10"/>
      <c r="R27" s="21"/>
      <c r="S27" s="20"/>
      <c r="T27" s="10"/>
      <c r="U27" s="11"/>
      <c r="V27" s="24"/>
      <c r="W27" s="72"/>
      <c r="X27" s="24"/>
      <c r="Y27" s="9">
        <v>6500</v>
      </c>
      <c r="Z27" s="9">
        <v>20000</v>
      </c>
      <c r="AA27" s="9">
        <v>10000</v>
      </c>
      <c r="AB27" s="9">
        <v>4700</v>
      </c>
      <c r="AC27" s="9">
        <v>21000</v>
      </c>
      <c r="AD27" s="9">
        <v>13000</v>
      </c>
      <c r="AE27" s="9">
        <v>2500</v>
      </c>
      <c r="AF27" s="9"/>
      <c r="AG27" s="11"/>
      <c r="AH27" s="68">
        <v>7210</v>
      </c>
      <c r="AI27" s="68">
        <v>3340</v>
      </c>
      <c r="AJ27" s="10"/>
      <c r="AK27" s="68">
        <v>2200</v>
      </c>
      <c r="AL27" s="68">
        <v>14500</v>
      </c>
      <c r="AM27" s="10"/>
      <c r="AN27" s="21"/>
      <c r="AO27" s="20"/>
      <c r="AP27" s="10"/>
      <c r="AQ27" s="11"/>
      <c r="AR27" s="24"/>
      <c r="AS27" s="72"/>
      <c r="AU27" s="9">
        <v>11000</v>
      </c>
      <c r="AV27" s="9">
        <v>33000</v>
      </c>
      <c r="AW27" s="9">
        <v>3000</v>
      </c>
      <c r="AX27" s="9">
        <v>4000</v>
      </c>
      <c r="AY27" s="9">
        <v>2500</v>
      </c>
      <c r="AZ27" s="9">
        <v>4500</v>
      </c>
      <c r="BA27" s="9">
        <v>4500</v>
      </c>
      <c r="BB27" s="9"/>
      <c r="BC27" s="11"/>
      <c r="BD27" s="68">
        <v>6500</v>
      </c>
      <c r="BE27" s="68">
        <v>3500</v>
      </c>
      <c r="BF27" s="10"/>
      <c r="BG27" s="68">
        <v>6000</v>
      </c>
      <c r="BH27" s="68">
        <v>4500</v>
      </c>
      <c r="BI27" s="10"/>
      <c r="BJ27" s="21"/>
      <c r="BK27" s="20"/>
      <c r="BL27" s="10"/>
      <c r="BM27" s="11"/>
      <c r="BN27" s="24"/>
      <c r="BO27" s="72"/>
      <c r="BQ27" s="9">
        <v>4500</v>
      </c>
      <c r="BR27" s="9">
        <v>37500</v>
      </c>
      <c r="BS27" s="9">
        <v>5000</v>
      </c>
      <c r="BT27" s="9">
        <v>3600</v>
      </c>
      <c r="BU27" s="9">
        <v>16000</v>
      </c>
      <c r="BV27" s="9">
        <v>2500</v>
      </c>
      <c r="BW27" s="9">
        <v>2000</v>
      </c>
      <c r="BX27" s="9">
        <v>1500</v>
      </c>
      <c r="BY27" s="11"/>
      <c r="BZ27" s="68">
        <v>1520</v>
      </c>
      <c r="CA27" s="68">
        <v>4000</v>
      </c>
      <c r="CB27" s="10"/>
      <c r="CC27" s="68">
        <v>2000</v>
      </c>
      <c r="CD27" s="68">
        <v>12700</v>
      </c>
      <c r="CE27" s="10"/>
      <c r="CF27" s="21"/>
      <c r="CG27" s="20"/>
      <c r="CH27" s="10"/>
      <c r="CI27" s="11"/>
      <c r="CJ27" s="24"/>
      <c r="CK27" s="72">
        <v>12000</v>
      </c>
      <c r="CL27" s="24"/>
      <c r="CM27" s="9"/>
      <c r="CN27" s="9"/>
      <c r="CO27" s="9"/>
      <c r="CP27" s="9"/>
      <c r="CQ27" s="9"/>
      <c r="CR27" s="9"/>
      <c r="CS27" s="9"/>
      <c r="CT27" s="11"/>
      <c r="CU27" s="10"/>
      <c r="CV27" s="10"/>
      <c r="CW27" s="10"/>
      <c r="CX27" s="10"/>
      <c r="CY27" s="21"/>
      <c r="CZ27" s="20"/>
      <c r="DA27" s="10"/>
      <c r="DB27" s="11"/>
      <c r="DC27" s="24"/>
      <c r="DD27" s="24"/>
    </row>
    <row r="28" spans="1:108">
      <c r="A28" s="9">
        <v>38000</v>
      </c>
      <c r="B28" s="9">
        <v>2000</v>
      </c>
      <c r="C28" s="9">
        <v>300</v>
      </c>
      <c r="D28" s="9">
        <v>2000</v>
      </c>
      <c r="E28" s="9">
        <v>5500</v>
      </c>
      <c r="F28" s="9">
        <v>2500</v>
      </c>
      <c r="G28" s="9">
        <v>20000</v>
      </c>
      <c r="H28" s="9">
        <v>30000</v>
      </c>
      <c r="I28" s="9"/>
      <c r="J28" s="11"/>
      <c r="K28" s="68">
        <v>21130</v>
      </c>
      <c r="L28" s="68">
        <v>7000</v>
      </c>
      <c r="M28" s="10"/>
      <c r="N28" s="10"/>
      <c r="O28" s="68">
        <v>1500</v>
      </c>
      <c r="P28" s="68">
        <v>4000</v>
      </c>
      <c r="Q28" s="10"/>
      <c r="R28" s="21"/>
      <c r="S28" s="20"/>
      <c r="T28" s="10"/>
      <c r="U28" s="11"/>
      <c r="V28" s="24"/>
      <c r="W28" s="72"/>
      <c r="X28" s="24"/>
      <c r="Y28" s="9">
        <v>14500</v>
      </c>
      <c r="Z28" s="9">
        <v>20000</v>
      </c>
      <c r="AA28" s="9">
        <v>14400</v>
      </c>
      <c r="AB28" s="9">
        <v>4000</v>
      </c>
      <c r="AC28" s="9">
        <v>6000</v>
      </c>
      <c r="AD28" s="9">
        <v>5000</v>
      </c>
      <c r="AE28" s="9">
        <v>6000</v>
      </c>
      <c r="AF28" s="9"/>
      <c r="AG28" s="11"/>
      <c r="AH28" s="68">
        <v>10800</v>
      </c>
      <c r="AI28" s="68">
        <v>8170</v>
      </c>
      <c r="AJ28" s="10"/>
      <c r="AK28" s="68">
        <v>36500</v>
      </c>
      <c r="AL28" s="68">
        <v>7500</v>
      </c>
      <c r="AM28" s="10"/>
      <c r="AN28" s="21"/>
      <c r="AO28" s="20"/>
      <c r="AP28" s="10"/>
      <c r="AQ28" s="11"/>
      <c r="AR28" s="24"/>
      <c r="AS28" s="72"/>
      <c r="AU28" s="9">
        <v>1500</v>
      </c>
      <c r="AV28" s="9">
        <v>12000</v>
      </c>
      <c r="AW28" s="9">
        <v>8000</v>
      </c>
      <c r="AX28" s="9">
        <v>6000</v>
      </c>
      <c r="AY28" s="9">
        <v>2500</v>
      </c>
      <c r="AZ28" s="9">
        <v>6500</v>
      </c>
      <c r="BA28" s="9">
        <v>2500</v>
      </c>
      <c r="BB28" s="9"/>
      <c r="BC28" s="11"/>
      <c r="BD28" s="68">
        <v>9130</v>
      </c>
      <c r="BE28" s="68">
        <v>6000</v>
      </c>
      <c r="BF28" s="10"/>
      <c r="BG28" s="68">
        <v>5500</v>
      </c>
      <c r="BH28" s="68">
        <v>6000</v>
      </c>
      <c r="BI28" s="10"/>
      <c r="BJ28" s="21"/>
      <c r="BK28" s="20"/>
      <c r="BL28" s="10"/>
      <c r="BM28" s="11"/>
      <c r="BN28" s="24"/>
      <c r="BO28" s="72"/>
      <c r="BQ28" s="9">
        <v>2500</v>
      </c>
      <c r="BR28" s="9">
        <v>21400</v>
      </c>
      <c r="BS28" s="9">
        <v>40000</v>
      </c>
      <c r="BT28" s="9">
        <v>12300</v>
      </c>
      <c r="BU28" s="9">
        <v>42000</v>
      </c>
      <c r="BV28" s="9">
        <v>8500</v>
      </c>
      <c r="BW28" s="9">
        <v>1500</v>
      </c>
      <c r="BX28" s="9">
        <v>20000</v>
      </c>
      <c r="BY28" s="11"/>
      <c r="BZ28" s="68">
        <v>43500</v>
      </c>
      <c r="CA28" s="68">
        <v>7000</v>
      </c>
      <c r="CB28" s="10"/>
      <c r="CC28" s="68">
        <v>3500</v>
      </c>
      <c r="CD28" s="68">
        <v>4500</v>
      </c>
      <c r="CE28" s="10"/>
      <c r="CF28" s="21"/>
      <c r="CG28" s="20"/>
      <c r="CH28" s="10"/>
      <c r="CI28" s="11"/>
      <c r="CJ28" s="24"/>
      <c r="CK28" s="72">
        <v>5600</v>
      </c>
      <c r="CL28" s="24"/>
      <c r="CM28" s="9"/>
      <c r="CN28" s="9"/>
      <c r="CO28" s="9"/>
      <c r="CP28" s="9"/>
      <c r="CQ28" s="9"/>
      <c r="CR28" s="9"/>
      <c r="CS28" s="9"/>
      <c r="CT28" s="11"/>
      <c r="CU28" s="10"/>
      <c r="CV28" s="10"/>
      <c r="CW28" s="10"/>
      <c r="CX28" s="10"/>
      <c r="CY28" s="21"/>
      <c r="CZ28" s="20"/>
      <c r="DA28" s="10"/>
      <c r="DB28" s="11"/>
      <c r="DC28" s="24"/>
      <c r="DD28" s="34"/>
    </row>
    <row r="29" spans="1:108">
      <c r="A29" s="9">
        <v>3000</v>
      </c>
      <c r="B29" s="9">
        <v>2000</v>
      </c>
      <c r="C29" s="9">
        <v>2000</v>
      </c>
      <c r="D29" s="9">
        <v>1500</v>
      </c>
      <c r="E29" s="9">
        <v>17000</v>
      </c>
      <c r="F29" s="9">
        <v>4500</v>
      </c>
      <c r="G29" s="9">
        <v>3200</v>
      </c>
      <c r="H29" s="9">
        <v>3500</v>
      </c>
      <c r="I29" s="9"/>
      <c r="J29" s="11"/>
      <c r="K29" s="68">
        <v>4320</v>
      </c>
      <c r="L29" s="68">
        <v>7200</v>
      </c>
      <c r="M29" s="10"/>
      <c r="N29" s="10"/>
      <c r="O29" s="68">
        <v>38000</v>
      </c>
      <c r="P29" s="68">
        <v>12000</v>
      </c>
      <c r="Q29" s="10"/>
      <c r="R29" s="21"/>
      <c r="S29" s="20" t="s">
        <v>50</v>
      </c>
      <c r="T29" s="10">
        <v>400000</v>
      </c>
      <c r="U29" s="11"/>
      <c r="V29" s="24"/>
      <c r="W29" s="72"/>
      <c r="X29" s="24"/>
      <c r="Y29" s="9">
        <v>7000</v>
      </c>
      <c r="Z29" s="9">
        <v>11000</v>
      </c>
      <c r="AA29" s="9">
        <v>2300</v>
      </c>
      <c r="AB29" s="9">
        <v>2000</v>
      </c>
      <c r="AC29" s="9">
        <v>30000</v>
      </c>
      <c r="AD29" s="9">
        <v>2500</v>
      </c>
      <c r="AE29" s="9">
        <v>3000</v>
      </c>
      <c r="AF29" s="9"/>
      <c r="AG29" s="11"/>
      <c r="AH29" s="68">
        <v>480</v>
      </c>
      <c r="AI29" s="68">
        <v>9500</v>
      </c>
      <c r="AJ29" s="10"/>
      <c r="AK29" s="68">
        <v>3500</v>
      </c>
      <c r="AL29" s="68">
        <v>2000</v>
      </c>
      <c r="AM29" s="10"/>
      <c r="AN29" s="21"/>
      <c r="AO29" s="20"/>
      <c r="AP29" s="10"/>
      <c r="AQ29" s="11"/>
      <c r="AR29" s="24"/>
      <c r="AS29" s="72"/>
      <c r="AU29" s="9">
        <v>45500</v>
      </c>
      <c r="AV29" s="9">
        <v>500</v>
      </c>
      <c r="AW29" s="9">
        <v>8000</v>
      </c>
      <c r="AX29" s="9">
        <v>13000</v>
      </c>
      <c r="AY29" s="9">
        <v>27000</v>
      </c>
      <c r="AZ29" s="9">
        <v>3000</v>
      </c>
      <c r="BA29" s="9">
        <v>11000</v>
      </c>
      <c r="BB29" s="9"/>
      <c r="BC29" s="11"/>
      <c r="BD29" s="68">
        <v>1000</v>
      </c>
      <c r="BE29" s="68">
        <v>10000</v>
      </c>
      <c r="BF29" s="10"/>
      <c r="BG29" s="68">
        <v>3500</v>
      </c>
      <c r="BH29" s="68">
        <v>21900</v>
      </c>
      <c r="BI29" s="10"/>
      <c r="BJ29" s="21"/>
      <c r="BK29" s="20"/>
      <c r="BL29" s="10"/>
      <c r="BM29" s="11"/>
      <c r="BN29" s="24"/>
      <c r="BO29" s="72"/>
      <c r="BQ29" s="9">
        <v>7000</v>
      </c>
      <c r="BR29" s="9">
        <v>1600</v>
      </c>
      <c r="BS29" s="9">
        <v>4500</v>
      </c>
      <c r="BT29" s="9">
        <v>1200</v>
      </c>
      <c r="BU29" s="9">
        <v>12000</v>
      </c>
      <c r="BV29" s="9">
        <v>1200</v>
      </c>
      <c r="BW29" s="9">
        <v>3500</v>
      </c>
      <c r="BX29" s="9">
        <v>12000</v>
      </c>
      <c r="BY29" s="11"/>
      <c r="BZ29" s="68">
        <v>2880</v>
      </c>
      <c r="CA29" s="68">
        <v>33000</v>
      </c>
      <c r="CB29" s="10"/>
      <c r="CC29" s="68">
        <v>9000</v>
      </c>
      <c r="CD29" s="68">
        <v>18200</v>
      </c>
      <c r="CE29" s="10"/>
      <c r="CF29" s="21"/>
      <c r="CG29" s="20"/>
      <c r="CH29" s="10"/>
      <c r="CI29" s="11"/>
      <c r="CJ29" s="24"/>
      <c r="CK29" s="72">
        <v>12000</v>
      </c>
      <c r="CL29" s="24"/>
      <c r="CM29" s="9"/>
      <c r="CN29" s="9"/>
      <c r="CO29" s="9"/>
      <c r="CP29" s="9"/>
      <c r="CQ29" s="9"/>
      <c r="CR29" s="9"/>
      <c r="CS29" s="9"/>
      <c r="CT29" s="11"/>
      <c r="CU29" s="10"/>
      <c r="CV29" s="10"/>
      <c r="CW29" s="10"/>
      <c r="CX29" s="10"/>
      <c r="CY29" s="21"/>
      <c r="CZ29" s="20"/>
      <c r="DA29" s="10"/>
      <c r="DB29" s="11"/>
      <c r="DC29" s="24"/>
      <c r="DD29" s="24"/>
    </row>
    <row r="30" spans="1:108">
      <c r="A30" s="9">
        <v>7000</v>
      </c>
      <c r="B30" s="9">
        <v>60000</v>
      </c>
      <c r="C30" s="9">
        <v>6500</v>
      </c>
      <c r="D30" s="9">
        <v>4000</v>
      </c>
      <c r="E30" s="9">
        <v>1200</v>
      </c>
      <c r="F30" s="9">
        <v>4500</v>
      </c>
      <c r="G30" s="9">
        <v>6500</v>
      </c>
      <c r="H30" s="9">
        <v>6500</v>
      </c>
      <c r="I30" s="9"/>
      <c r="J30" s="11"/>
      <c r="K30" s="68">
        <v>9500</v>
      </c>
      <c r="L30" s="68">
        <v>12870</v>
      </c>
      <c r="M30" s="10"/>
      <c r="N30" s="10"/>
      <c r="O30" s="68">
        <v>15000</v>
      </c>
      <c r="P30" s="68">
        <v>8600</v>
      </c>
      <c r="Q30" s="10"/>
      <c r="R30" s="21"/>
      <c r="S30" s="20" t="s">
        <v>53</v>
      </c>
      <c r="T30" s="10">
        <v>400000</v>
      </c>
      <c r="U30" s="11"/>
      <c r="V30" s="24"/>
      <c r="W30" s="72"/>
      <c r="X30" s="24"/>
      <c r="Y30" s="9">
        <v>1000</v>
      </c>
      <c r="Z30" s="9">
        <v>22000</v>
      </c>
      <c r="AA30" s="9">
        <v>2000</v>
      </c>
      <c r="AB30" s="9">
        <v>2500</v>
      </c>
      <c r="AC30" s="9">
        <v>4500</v>
      </c>
      <c r="AD30" s="9">
        <v>6000</v>
      </c>
      <c r="AE30" s="9">
        <v>3500</v>
      </c>
      <c r="AF30" s="9"/>
      <c r="AG30" s="11"/>
      <c r="AH30" s="68">
        <v>40640</v>
      </c>
      <c r="AI30" s="68">
        <v>22360</v>
      </c>
      <c r="AJ30" s="10"/>
      <c r="AK30" s="68">
        <v>8000</v>
      </c>
      <c r="AL30" s="68">
        <v>9600</v>
      </c>
      <c r="AM30" s="10"/>
      <c r="AN30" s="21"/>
      <c r="AO30" s="20"/>
      <c r="AP30" s="10"/>
      <c r="AQ30" s="11"/>
      <c r="AR30" s="24"/>
      <c r="AS30" s="72"/>
      <c r="AU30" s="9">
        <v>12000</v>
      </c>
      <c r="AV30" s="9">
        <v>8500</v>
      </c>
      <c r="AW30" s="9">
        <v>4000</v>
      </c>
      <c r="AX30" s="9">
        <v>1000</v>
      </c>
      <c r="AY30" s="9">
        <v>13000</v>
      </c>
      <c r="AZ30" s="9">
        <v>8000</v>
      </c>
      <c r="BA30" s="9">
        <v>14000</v>
      </c>
      <c r="BB30" s="9"/>
      <c r="BC30" s="11"/>
      <c r="BD30" s="68">
        <v>3750</v>
      </c>
      <c r="BE30" s="68">
        <v>6460</v>
      </c>
      <c r="BF30" s="10"/>
      <c r="BG30" s="68">
        <v>4500</v>
      </c>
      <c r="BH30" s="68">
        <v>2500</v>
      </c>
      <c r="BI30" s="10"/>
      <c r="BJ30" s="21"/>
      <c r="BK30" s="20"/>
      <c r="BL30" s="10"/>
      <c r="BM30" s="11"/>
      <c r="BN30" s="24"/>
      <c r="BO30" s="72"/>
      <c r="BQ30" s="9">
        <v>2500</v>
      </c>
      <c r="BR30" s="9">
        <v>800</v>
      </c>
      <c r="BS30" s="9">
        <v>3500</v>
      </c>
      <c r="BT30" s="9">
        <v>26000</v>
      </c>
      <c r="BU30" s="9">
        <v>9000</v>
      </c>
      <c r="BV30" s="9">
        <v>2000</v>
      </c>
      <c r="BW30" s="9">
        <v>14900</v>
      </c>
      <c r="BX30" s="9"/>
      <c r="BY30" s="11"/>
      <c r="BZ30" s="68">
        <v>3220</v>
      </c>
      <c r="CA30" s="68">
        <v>1500</v>
      </c>
      <c r="CB30" s="10"/>
      <c r="CC30" s="68">
        <v>37000</v>
      </c>
      <c r="CD30" s="68">
        <v>2000</v>
      </c>
      <c r="CE30" s="10"/>
      <c r="CF30" s="21"/>
      <c r="CG30" s="20"/>
      <c r="CH30" s="10"/>
      <c r="CI30" s="11"/>
      <c r="CJ30" s="24"/>
      <c r="CK30" s="72">
        <v>500000</v>
      </c>
      <c r="CL30" s="24"/>
      <c r="CM30" s="9"/>
      <c r="CN30" s="9"/>
      <c r="CO30" s="9"/>
      <c r="CP30" s="9"/>
      <c r="CQ30" s="9"/>
      <c r="CR30" s="9"/>
      <c r="CS30" s="9"/>
      <c r="CT30" s="11"/>
      <c r="CU30" s="10"/>
      <c r="CV30" s="10"/>
      <c r="CW30" s="10"/>
      <c r="CX30" s="10"/>
      <c r="CY30" s="21"/>
      <c r="CZ30" s="20"/>
      <c r="DA30" s="10"/>
      <c r="DB30" s="11"/>
      <c r="DC30" s="24"/>
      <c r="DD30" s="24"/>
    </row>
    <row r="31" spans="1:108">
      <c r="A31" s="9">
        <v>20000</v>
      </c>
      <c r="B31" s="9">
        <v>4500</v>
      </c>
      <c r="C31" s="9">
        <v>4500</v>
      </c>
      <c r="D31" s="9">
        <v>3400</v>
      </c>
      <c r="E31" s="9">
        <v>5000</v>
      </c>
      <c r="F31" s="9">
        <v>31500</v>
      </c>
      <c r="G31" s="9">
        <v>5500</v>
      </c>
      <c r="H31" s="9">
        <v>18000</v>
      </c>
      <c r="I31" s="9"/>
      <c r="J31" s="11"/>
      <c r="K31" s="68">
        <v>1620</v>
      </c>
      <c r="L31" s="68">
        <v>1540</v>
      </c>
      <c r="M31" s="10"/>
      <c r="N31" s="10"/>
      <c r="O31" s="68">
        <v>4500</v>
      </c>
      <c r="P31" s="68">
        <v>2700</v>
      </c>
      <c r="Q31" s="10"/>
      <c r="R31" s="21"/>
      <c r="S31" s="20"/>
      <c r="T31" s="10"/>
      <c r="U31" s="11"/>
      <c r="V31" s="24"/>
      <c r="W31" s="72"/>
      <c r="X31" s="24"/>
      <c r="Y31" s="9">
        <v>2300</v>
      </c>
      <c r="Z31" s="9">
        <v>2000</v>
      </c>
      <c r="AA31" s="9">
        <v>2500</v>
      </c>
      <c r="AB31" s="9">
        <v>7000</v>
      </c>
      <c r="AC31" s="9">
        <v>3500</v>
      </c>
      <c r="AD31" s="9">
        <v>3000</v>
      </c>
      <c r="AE31" s="9">
        <v>4000</v>
      </c>
      <c r="AF31" s="9"/>
      <c r="AG31" s="11"/>
      <c r="AH31" s="68">
        <v>44600</v>
      </c>
      <c r="AI31" s="68">
        <v>12010</v>
      </c>
      <c r="AJ31" s="10"/>
      <c r="AK31" s="68">
        <v>6000</v>
      </c>
      <c r="AL31" s="68">
        <v>4000</v>
      </c>
      <c r="AM31" s="10"/>
      <c r="AN31" s="21"/>
      <c r="AO31" s="20"/>
      <c r="AP31" s="10"/>
      <c r="AQ31" s="11"/>
      <c r="AR31" s="24"/>
      <c r="AS31" s="72"/>
      <c r="AU31" s="9">
        <v>8000</v>
      </c>
      <c r="AV31" s="9">
        <v>500</v>
      </c>
      <c r="AW31" s="9">
        <v>1000</v>
      </c>
      <c r="AX31" s="9">
        <v>2500</v>
      </c>
      <c r="AY31" s="9">
        <v>5000</v>
      </c>
      <c r="AZ31" s="9">
        <v>16500</v>
      </c>
      <c r="BA31" s="9">
        <v>5000</v>
      </c>
      <c r="BB31" s="9"/>
      <c r="BC31" s="11"/>
      <c r="BD31" s="68">
        <v>3800</v>
      </c>
      <c r="BE31" s="68">
        <v>37130</v>
      </c>
      <c r="BF31" s="10"/>
      <c r="BG31" s="68">
        <v>5500</v>
      </c>
      <c r="BH31" s="68">
        <v>1000</v>
      </c>
      <c r="BI31" s="10"/>
      <c r="BJ31" s="21"/>
      <c r="BK31" s="20" t="s">
        <v>50</v>
      </c>
      <c r="BL31" s="10">
        <v>400000</v>
      </c>
      <c r="BM31" s="11"/>
      <c r="BN31" s="24"/>
      <c r="BO31" s="72"/>
      <c r="BQ31" s="9">
        <v>1500</v>
      </c>
      <c r="BR31" s="9">
        <v>600</v>
      </c>
      <c r="BS31" s="9">
        <v>3500</v>
      </c>
      <c r="BT31" s="9">
        <v>5300</v>
      </c>
      <c r="BU31" s="9">
        <v>13000</v>
      </c>
      <c r="BV31" s="9">
        <v>4000</v>
      </c>
      <c r="BW31" s="9">
        <v>600</v>
      </c>
      <c r="BX31" s="9"/>
      <c r="BY31" s="11"/>
      <c r="BZ31" s="68">
        <v>1500</v>
      </c>
      <c r="CA31" s="68">
        <v>25000</v>
      </c>
      <c r="CB31" s="10"/>
      <c r="CC31" s="68">
        <v>6000</v>
      </c>
      <c r="CD31" s="68">
        <v>13000</v>
      </c>
      <c r="CE31" s="10"/>
      <c r="CF31" s="21"/>
      <c r="CG31" s="20"/>
      <c r="CH31" s="10"/>
      <c r="CI31" s="11"/>
      <c r="CJ31" s="24"/>
      <c r="CK31" s="72">
        <v>13500</v>
      </c>
      <c r="CL31" s="24"/>
      <c r="CM31" s="9"/>
      <c r="CN31" s="9"/>
      <c r="CO31" s="9"/>
      <c r="CP31" s="9"/>
      <c r="CQ31" s="9"/>
      <c r="CR31" s="9"/>
      <c r="CS31" s="9"/>
      <c r="CT31" s="11"/>
      <c r="CU31" s="10"/>
      <c r="CV31" s="10"/>
      <c r="CW31" s="10"/>
      <c r="CX31" s="10"/>
      <c r="CY31" s="21"/>
      <c r="CZ31" s="20"/>
      <c r="DA31" s="10"/>
      <c r="DB31" s="11"/>
      <c r="DC31" s="24"/>
      <c r="DD31" s="24"/>
    </row>
    <row r="32" spans="1:108">
      <c r="A32" s="9">
        <v>31000</v>
      </c>
      <c r="B32" s="9">
        <v>5000</v>
      </c>
      <c r="C32" s="9">
        <v>10000</v>
      </c>
      <c r="D32" s="9">
        <v>10000</v>
      </c>
      <c r="E32" s="9">
        <v>1300</v>
      </c>
      <c r="F32" s="9">
        <v>27000</v>
      </c>
      <c r="G32" s="9">
        <v>108700</v>
      </c>
      <c r="H32" s="9">
        <v>4000</v>
      </c>
      <c r="I32" s="9"/>
      <c r="J32" s="11"/>
      <c r="K32" s="68">
        <v>15500</v>
      </c>
      <c r="L32" s="68">
        <v>24000</v>
      </c>
      <c r="M32" s="10"/>
      <c r="N32" s="10"/>
      <c r="O32" s="68">
        <v>5000</v>
      </c>
      <c r="P32" s="68">
        <v>70000</v>
      </c>
      <c r="Q32" s="10"/>
      <c r="R32" s="21"/>
      <c r="S32" s="20"/>
      <c r="T32" s="10"/>
      <c r="U32" s="11"/>
      <c r="V32" s="24"/>
      <c r="W32" s="72"/>
      <c r="X32" s="24"/>
      <c r="Y32" s="9">
        <v>15000</v>
      </c>
      <c r="Z32" s="9">
        <v>1000</v>
      </c>
      <c r="AA32" s="9">
        <v>4500</v>
      </c>
      <c r="AB32" s="9">
        <v>16400</v>
      </c>
      <c r="AC32" s="9">
        <v>4500</v>
      </c>
      <c r="AD32" s="9">
        <v>2500</v>
      </c>
      <c r="AE32" s="9">
        <v>3000</v>
      </c>
      <c r="AF32" s="9"/>
      <c r="AG32" s="11"/>
      <c r="AH32" s="68">
        <v>8170</v>
      </c>
      <c r="AI32" s="68">
        <v>24000</v>
      </c>
      <c r="AJ32" s="10"/>
      <c r="AK32" s="68">
        <v>32000</v>
      </c>
      <c r="AL32" s="68">
        <v>19300</v>
      </c>
      <c r="AM32" s="10"/>
      <c r="AN32" s="21"/>
      <c r="AO32" s="20" t="s">
        <v>50</v>
      </c>
      <c r="AP32" s="10">
        <v>400000</v>
      </c>
      <c r="AQ32" s="11"/>
      <c r="AR32" s="24"/>
      <c r="AS32" s="72"/>
      <c r="AU32" s="9">
        <v>11000</v>
      </c>
      <c r="AV32" s="9">
        <v>3000</v>
      </c>
      <c r="AW32" s="9">
        <v>12000</v>
      </c>
      <c r="AX32" s="9">
        <v>29500</v>
      </c>
      <c r="AY32" s="9">
        <v>5500</v>
      </c>
      <c r="AZ32" s="9">
        <v>19000</v>
      </c>
      <c r="BA32" s="9">
        <v>1500</v>
      </c>
      <c r="BB32" s="9"/>
      <c r="BC32" s="11"/>
      <c r="BD32" s="68">
        <v>8640</v>
      </c>
      <c r="BE32" s="68">
        <v>9600</v>
      </c>
      <c r="BF32" s="10"/>
      <c r="BG32" s="68">
        <v>6500</v>
      </c>
      <c r="BH32" s="68">
        <v>5200</v>
      </c>
      <c r="BI32" s="10"/>
      <c r="BJ32" s="21"/>
      <c r="BK32" s="20" t="s">
        <v>53</v>
      </c>
      <c r="BL32" s="10">
        <v>400000</v>
      </c>
      <c r="BM32" s="11"/>
      <c r="BN32" s="24"/>
      <c r="BO32" s="72"/>
      <c r="BQ32" s="9">
        <v>14000</v>
      </c>
      <c r="BR32" s="9">
        <v>7500</v>
      </c>
      <c r="BS32" s="9">
        <v>20650</v>
      </c>
      <c r="BT32" s="9">
        <v>28000</v>
      </c>
      <c r="BU32" s="9">
        <v>2000</v>
      </c>
      <c r="BV32" s="9">
        <v>1500</v>
      </c>
      <c r="BW32" s="9">
        <v>9500</v>
      </c>
      <c r="BX32" s="9"/>
      <c r="BY32" s="11"/>
      <c r="BZ32" s="68">
        <v>27000</v>
      </c>
      <c r="CA32" s="68">
        <v>4000</v>
      </c>
      <c r="CB32" s="10"/>
      <c r="CC32" s="68">
        <v>9000</v>
      </c>
      <c r="CD32" s="68">
        <v>2500</v>
      </c>
      <c r="CE32" s="10"/>
      <c r="CF32" s="21"/>
      <c r="CG32" s="20"/>
      <c r="CH32" s="10"/>
      <c r="CI32" s="11"/>
      <c r="CJ32" s="24"/>
      <c r="CK32" s="72">
        <v>22700</v>
      </c>
      <c r="CL32" s="24"/>
      <c r="CM32" s="9"/>
      <c r="CN32" s="9"/>
      <c r="CO32" s="9"/>
      <c r="CP32" s="9"/>
      <c r="CQ32" s="9"/>
      <c r="CR32" s="9"/>
      <c r="CS32" s="9"/>
      <c r="CT32" s="11"/>
      <c r="CU32" s="10"/>
      <c r="CV32" s="10"/>
      <c r="CW32" s="10"/>
      <c r="CX32" s="10"/>
      <c r="CY32" s="21"/>
      <c r="CZ32" s="20"/>
      <c r="DA32" s="10"/>
      <c r="DB32" s="11"/>
      <c r="DC32" s="24"/>
      <c r="DD32" s="24"/>
    </row>
    <row r="33" spans="1:108">
      <c r="A33" s="9">
        <v>1200</v>
      </c>
      <c r="B33" s="9">
        <v>2500</v>
      </c>
      <c r="C33" s="9">
        <v>1000</v>
      </c>
      <c r="D33" s="9">
        <v>2000</v>
      </c>
      <c r="E33" s="9">
        <v>4500</v>
      </c>
      <c r="F33" s="9">
        <v>25500</v>
      </c>
      <c r="G33" s="9">
        <v>3000</v>
      </c>
      <c r="H33" s="9">
        <v>13500</v>
      </c>
      <c r="I33" s="9"/>
      <c r="J33" s="11"/>
      <c r="K33" s="68">
        <v>7620</v>
      </c>
      <c r="L33" s="68">
        <v>1500</v>
      </c>
      <c r="M33" s="10"/>
      <c r="N33" s="10"/>
      <c r="O33" s="68">
        <v>12000</v>
      </c>
      <c r="P33" s="68">
        <v>3000</v>
      </c>
      <c r="Q33" s="10"/>
      <c r="R33" s="21"/>
      <c r="S33" s="20"/>
      <c r="T33" s="10"/>
      <c r="U33" s="11"/>
      <c r="V33" s="24"/>
      <c r="W33" s="72"/>
      <c r="X33" s="24"/>
      <c r="Y33" s="9">
        <v>2000</v>
      </c>
      <c r="Z33" s="9">
        <v>13500</v>
      </c>
      <c r="AA33" s="9">
        <v>2000</v>
      </c>
      <c r="AB33" s="9">
        <v>1500</v>
      </c>
      <c r="AC33" s="9">
        <v>3000</v>
      </c>
      <c r="AD33" s="9">
        <v>4500</v>
      </c>
      <c r="AE33" s="9">
        <v>4000</v>
      </c>
      <c r="AF33" s="9"/>
      <c r="AG33" s="11"/>
      <c r="AH33" s="68">
        <v>5000</v>
      </c>
      <c r="AI33" s="68">
        <v>24000</v>
      </c>
      <c r="AJ33" s="10"/>
      <c r="AK33" s="68">
        <v>33000</v>
      </c>
      <c r="AL33" s="68">
        <v>14000</v>
      </c>
      <c r="AM33" s="10"/>
      <c r="AN33" s="21"/>
      <c r="AO33" s="20" t="s">
        <v>53</v>
      </c>
      <c r="AP33" s="10">
        <v>400000</v>
      </c>
      <c r="AQ33" s="11"/>
      <c r="AR33" s="24"/>
      <c r="AS33" s="72"/>
      <c r="AU33" s="9">
        <v>2000</v>
      </c>
      <c r="AV33" s="9">
        <v>2500</v>
      </c>
      <c r="AW33" s="9">
        <v>4500</v>
      </c>
      <c r="AX33" s="9">
        <v>1400</v>
      </c>
      <c r="AY33" s="9">
        <v>5000</v>
      </c>
      <c r="AZ33" s="9">
        <v>10000</v>
      </c>
      <c r="BA33" s="9">
        <v>4000</v>
      </c>
      <c r="BB33" s="9"/>
      <c r="BC33" s="11"/>
      <c r="BD33" s="68">
        <v>54280</v>
      </c>
      <c r="BE33" s="68">
        <v>11000</v>
      </c>
      <c r="BF33" s="10"/>
      <c r="BG33" s="68">
        <v>9000</v>
      </c>
      <c r="BH33" s="68">
        <v>5000</v>
      </c>
      <c r="BI33" s="10"/>
      <c r="BJ33" s="21"/>
      <c r="BK33" s="20"/>
      <c r="BL33" s="10"/>
      <c r="BM33" s="11"/>
      <c r="BN33" s="24"/>
      <c r="BO33" s="72"/>
      <c r="BQ33" s="9">
        <v>18000</v>
      </c>
      <c r="BR33" s="9">
        <v>2000</v>
      </c>
      <c r="BS33" s="9">
        <v>63000</v>
      </c>
      <c r="BT33" s="9">
        <v>18000</v>
      </c>
      <c r="BU33" s="9">
        <v>4500</v>
      </c>
      <c r="BV33" s="9">
        <v>2500</v>
      </c>
      <c r="BW33" s="9">
        <v>36000</v>
      </c>
      <c r="BX33" s="9"/>
      <c r="BY33" s="11"/>
      <c r="BZ33" s="68">
        <v>7000</v>
      </c>
      <c r="CA33" s="68">
        <v>5500</v>
      </c>
      <c r="CB33" s="10"/>
      <c r="CC33" s="68">
        <v>4500</v>
      </c>
      <c r="CD33" s="68">
        <v>1000</v>
      </c>
      <c r="CE33" s="10"/>
      <c r="CF33" s="21"/>
      <c r="CG33" s="20" t="s">
        <v>50</v>
      </c>
      <c r="CH33" s="10">
        <v>400000</v>
      </c>
      <c r="CI33" s="11"/>
      <c r="CJ33" s="24"/>
      <c r="CK33" s="72">
        <v>12000</v>
      </c>
      <c r="CL33" s="24"/>
      <c r="CM33" s="9"/>
      <c r="CN33" s="9"/>
      <c r="CO33" s="9"/>
      <c r="CP33" s="9"/>
      <c r="CQ33" s="9"/>
      <c r="CR33" s="9"/>
      <c r="CS33" s="9"/>
      <c r="CT33" s="11"/>
      <c r="CU33" s="10"/>
      <c r="CV33" s="10"/>
      <c r="CW33" s="10"/>
      <c r="CX33" s="10"/>
      <c r="CY33" s="21"/>
      <c r="CZ33" s="20"/>
      <c r="DA33" s="10"/>
      <c r="DB33" s="11"/>
      <c r="DC33" s="24"/>
      <c r="DD33" s="24"/>
    </row>
    <row r="34" spans="1:108">
      <c r="A34" s="9">
        <v>18000</v>
      </c>
      <c r="B34" s="9">
        <v>7500</v>
      </c>
      <c r="C34" s="9">
        <v>23300</v>
      </c>
      <c r="D34" s="9">
        <v>80000</v>
      </c>
      <c r="E34" s="9">
        <v>6000</v>
      </c>
      <c r="F34" s="9">
        <v>2500</v>
      </c>
      <c r="G34" s="9">
        <v>3500</v>
      </c>
      <c r="H34" s="9">
        <v>1500</v>
      </c>
      <c r="I34" s="9"/>
      <c r="J34" s="11"/>
      <c r="K34" s="68">
        <v>20000</v>
      </c>
      <c r="L34" s="68">
        <v>1200</v>
      </c>
      <c r="M34" s="10"/>
      <c r="N34" s="10"/>
      <c r="O34" s="68">
        <v>5500</v>
      </c>
      <c r="P34" s="68">
        <v>9000</v>
      </c>
      <c r="Q34" s="10"/>
      <c r="R34" s="21"/>
      <c r="S34" s="20"/>
      <c r="T34" s="10"/>
      <c r="U34" s="11"/>
      <c r="V34" s="24"/>
      <c r="W34" s="72"/>
      <c r="X34" s="24"/>
      <c r="Y34" s="9">
        <v>500</v>
      </c>
      <c r="Z34" s="9">
        <v>4000</v>
      </c>
      <c r="AA34" s="9">
        <v>4000</v>
      </c>
      <c r="AB34" s="9">
        <v>4000</v>
      </c>
      <c r="AC34" s="9">
        <v>5000</v>
      </c>
      <c r="AD34" s="9">
        <v>500</v>
      </c>
      <c r="AE34" s="9">
        <v>7000</v>
      </c>
      <c r="AF34" s="9"/>
      <c r="AG34" s="11"/>
      <c r="AH34" s="68">
        <v>17770</v>
      </c>
      <c r="AI34" s="68">
        <v>3000</v>
      </c>
      <c r="AJ34" s="10"/>
      <c r="AK34" s="68">
        <v>5000</v>
      </c>
      <c r="AL34" s="68">
        <v>7500</v>
      </c>
      <c r="AM34" s="10"/>
      <c r="AN34" s="21"/>
      <c r="AO34" s="20"/>
      <c r="AP34" s="10"/>
      <c r="AQ34" s="11"/>
      <c r="AR34" s="24"/>
      <c r="AS34" s="72"/>
      <c r="AU34" s="9">
        <v>2500</v>
      </c>
      <c r="AV34" s="9">
        <v>2000</v>
      </c>
      <c r="AW34" s="9">
        <v>5500</v>
      </c>
      <c r="AX34" s="9">
        <v>2000</v>
      </c>
      <c r="AY34" s="9">
        <v>7000</v>
      </c>
      <c r="AZ34" s="9">
        <v>6000</v>
      </c>
      <c r="BA34" s="9"/>
      <c r="BB34" s="9"/>
      <c r="BC34" s="11"/>
      <c r="BD34" s="68">
        <v>3500</v>
      </c>
      <c r="BE34" s="68">
        <v>5760</v>
      </c>
      <c r="BF34" s="10"/>
      <c r="BG34" s="68">
        <v>3200</v>
      </c>
      <c r="BH34" s="68">
        <v>10500</v>
      </c>
      <c r="BI34" s="10"/>
      <c r="BJ34" s="21"/>
      <c r="BK34" s="20"/>
      <c r="BL34" s="10"/>
      <c r="BM34" s="11"/>
      <c r="BN34" s="24"/>
      <c r="BO34" s="72"/>
      <c r="BQ34" s="9">
        <v>1200</v>
      </c>
      <c r="BR34" s="9">
        <v>2000</v>
      </c>
      <c r="BS34" s="9">
        <v>1200</v>
      </c>
      <c r="BT34" s="9">
        <v>27000</v>
      </c>
      <c r="BU34" s="9">
        <v>1000</v>
      </c>
      <c r="BV34" s="9">
        <v>9000</v>
      </c>
      <c r="BW34" s="9">
        <v>29500</v>
      </c>
      <c r="BX34" s="9"/>
      <c r="BY34" s="11"/>
      <c r="BZ34" s="68">
        <v>27500</v>
      </c>
      <c r="CA34" s="68">
        <v>500</v>
      </c>
      <c r="CB34" s="10"/>
      <c r="CC34" s="68">
        <v>3600</v>
      </c>
      <c r="CD34" s="68">
        <v>500</v>
      </c>
      <c r="CE34" s="10"/>
      <c r="CF34" s="21"/>
      <c r="CG34" s="20" t="s">
        <v>53</v>
      </c>
      <c r="CH34" s="10">
        <v>400000</v>
      </c>
      <c r="CI34" s="11"/>
      <c r="CJ34" s="24"/>
      <c r="CK34" s="72">
        <v>400000</v>
      </c>
      <c r="CL34" s="24"/>
      <c r="CM34" s="9"/>
      <c r="CN34" s="9"/>
      <c r="CO34" s="9"/>
      <c r="CP34" s="9"/>
      <c r="CQ34" s="9"/>
      <c r="CR34" s="9"/>
      <c r="CS34" s="9"/>
      <c r="CT34" s="11"/>
      <c r="CU34" s="10"/>
      <c r="CV34" s="10"/>
      <c r="CW34" s="10"/>
      <c r="CX34" s="10"/>
      <c r="CY34" s="21"/>
      <c r="CZ34" s="20"/>
      <c r="DA34" s="10"/>
      <c r="DB34" s="11"/>
      <c r="DC34" s="24"/>
      <c r="DD34" s="34"/>
    </row>
    <row r="35" spans="1:108">
      <c r="A35" s="9">
        <v>2500</v>
      </c>
      <c r="B35" s="9">
        <v>13700</v>
      </c>
      <c r="C35" s="9">
        <v>7000</v>
      </c>
      <c r="D35" s="9">
        <v>2500</v>
      </c>
      <c r="E35" s="9">
        <v>7500</v>
      </c>
      <c r="F35" s="9">
        <v>25000</v>
      </c>
      <c r="G35" s="9">
        <v>3500</v>
      </c>
      <c r="H35" s="9">
        <v>7200</v>
      </c>
      <c r="I35" s="9"/>
      <c r="J35" s="11"/>
      <c r="K35" s="68">
        <v>6140</v>
      </c>
      <c r="L35" s="68">
        <v>1600</v>
      </c>
      <c r="M35" s="10"/>
      <c r="N35" s="10"/>
      <c r="O35" s="68">
        <v>10000</v>
      </c>
      <c r="P35" s="68">
        <v>14000</v>
      </c>
      <c r="Q35" s="10"/>
      <c r="R35" s="21"/>
      <c r="S35" s="20"/>
      <c r="T35" s="10"/>
      <c r="U35" s="11"/>
      <c r="V35" s="24"/>
      <c r="W35" s="72"/>
      <c r="X35" s="24"/>
      <c r="Y35" s="9">
        <v>15000</v>
      </c>
      <c r="Z35" s="9">
        <v>12000</v>
      </c>
      <c r="AA35" s="9">
        <v>1000</v>
      </c>
      <c r="AB35" s="9">
        <v>10000</v>
      </c>
      <c r="AC35" s="9">
        <v>24000</v>
      </c>
      <c r="AD35" s="9">
        <v>2000</v>
      </c>
      <c r="AE35" s="9"/>
      <c r="AF35" s="9"/>
      <c r="AG35" s="11"/>
      <c r="AH35" s="68">
        <v>2000</v>
      </c>
      <c r="AI35" s="68">
        <v>22000</v>
      </c>
      <c r="AJ35" s="10"/>
      <c r="AK35" s="68">
        <v>50000</v>
      </c>
      <c r="AL35" s="68">
        <v>24000</v>
      </c>
      <c r="AM35" s="10"/>
      <c r="AN35" s="21"/>
      <c r="AO35" s="20"/>
      <c r="AP35" s="10"/>
      <c r="AQ35" s="11"/>
      <c r="AR35" s="24"/>
      <c r="AS35" s="72"/>
      <c r="AU35" s="9">
        <v>5000</v>
      </c>
      <c r="AV35" s="9">
        <v>2500</v>
      </c>
      <c r="AW35" s="9">
        <v>1500</v>
      </c>
      <c r="AX35" s="9">
        <v>400</v>
      </c>
      <c r="AY35" s="9">
        <v>16000</v>
      </c>
      <c r="AZ35" s="9">
        <v>5000</v>
      </c>
      <c r="BA35" s="9"/>
      <c r="BB35" s="9"/>
      <c r="BC35" s="11"/>
      <c r="BD35" s="68">
        <v>6200</v>
      </c>
      <c r="BE35" s="68">
        <v>13860</v>
      </c>
      <c r="BF35" s="10"/>
      <c r="BG35" s="68">
        <v>3500</v>
      </c>
      <c r="BH35" s="68">
        <v>16000</v>
      </c>
      <c r="BI35" s="10"/>
      <c r="BJ35" s="21"/>
      <c r="BK35" s="20"/>
      <c r="BL35" s="10"/>
      <c r="BM35" s="11"/>
      <c r="BN35" s="24"/>
      <c r="BO35" s="72"/>
      <c r="BQ35" s="9">
        <v>3100</v>
      </c>
      <c r="BR35" s="9">
        <v>3500</v>
      </c>
      <c r="BS35" s="9">
        <v>2000</v>
      </c>
      <c r="BT35" s="9">
        <v>6000</v>
      </c>
      <c r="BU35" s="9">
        <v>800</v>
      </c>
      <c r="BV35" s="9">
        <v>7000</v>
      </c>
      <c r="BW35" s="9">
        <v>4800</v>
      </c>
      <c r="BX35" s="9"/>
      <c r="BY35" s="11"/>
      <c r="BZ35" s="68">
        <v>10000</v>
      </c>
      <c r="CA35" s="68">
        <v>15000</v>
      </c>
      <c r="CB35" s="10"/>
      <c r="CC35" s="68">
        <v>7500</v>
      </c>
      <c r="CD35" s="68">
        <v>15500</v>
      </c>
      <c r="CE35" s="10"/>
      <c r="CF35" s="21"/>
      <c r="CG35" s="20"/>
      <c r="CH35" s="10"/>
      <c r="CI35" s="11"/>
      <c r="CJ35" s="24"/>
      <c r="CK35" s="72">
        <v>12000</v>
      </c>
      <c r="CL35" s="24"/>
      <c r="CM35" s="9"/>
      <c r="CN35" s="9"/>
      <c r="CO35" s="9"/>
      <c r="CP35" s="9"/>
      <c r="CQ35" s="9"/>
      <c r="CR35" s="9"/>
      <c r="CS35" s="9"/>
      <c r="CT35" s="11"/>
      <c r="CU35" s="10"/>
      <c r="CV35" s="10"/>
      <c r="CW35" s="10"/>
      <c r="CX35" s="10"/>
      <c r="CY35" s="21"/>
      <c r="CZ35" s="20"/>
      <c r="DA35" s="10"/>
      <c r="DB35" s="11"/>
      <c r="DC35" s="24"/>
      <c r="DD35" s="24"/>
    </row>
    <row r="36" spans="17:82">
      <c r="Q36" s="4"/>
      <c r="BE36" s="35"/>
      <c r="BF36" s="35"/>
      <c r="BG36" s="35"/>
      <c r="BH36" s="36"/>
      <c r="BI36" s="35"/>
      <c r="BJ36" s="35"/>
      <c r="BK36" s="35"/>
      <c r="CC36" s="76"/>
      <c r="CD36" s="76"/>
    </row>
  </sheetData>
  <mergeCells count="61">
    <mergeCell ref="K1:Q1"/>
    <mergeCell ref="S1:T1"/>
    <mergeCell ref="AH1:AM1"/>
    <mergeCell ref="AO1:AP1"/>
    <mergeCell ref="BD1:BI1"/>
    <mergeCell ref="BK1:BL1"/>
    <mergeCell ref="BZ1:CE1"/>
    <mergeCell ref="CG1:CH1"/>
    <mergeCell ref="CU1:CX1"/>
    <mergeCell ref="CZ1:DA1"/>
    <mergeCell ref="V1:V2"/>
    <mergeCell ref="V3:V4"/>
    <mergeCell ref="V5:V6"/>
    <mergeCell ref="V7:V8"/>
    <mergeCell ref="W1:W2"/>
    <mergeCell ref="W3:W4"/>
    <mergeCell ref="W5:W6"/>
    <mergeCell ref="W7:W8"/>
    <mergeCell ref="AR1:AR2"/>
    <mergeCell ref="AR3:AR4"/>
    <mergeCell ref="AR5:AR6"/>
    <mergeCell ref="AR7:AR8"/>
    <mergeCell ref="AS1:AS2"/>
    <mergeCell ref="AS3:AS4"/>
    <mergeCell ref="AS5:AS6"/>
    <mergeCell ref="AS7:AS8"/>
    <mergeCell ref="BN1:BN2"/>
    <mergeCell ref="BN3:BN4"/>
    <mergeCell ref="BN5:BN6"/>
    <mergeCell ref="BN7:BN8"/>
    <mergeCell ref="BO1:BO2"/>
    <mergeCell ref="BO3:BO4"/>
    <mergeCell ref="BO5:BO6"/>
    <mergeCell ref="BO7:BO8"/>
    <mergeCell ref="CJ1:CJ2"/>
    <mergeCell ref="CJ3:CJ4"/>
    <mergeCell ref="CJ5:CJ6"/>
    <mergeCell ref="CJ7:CJ8"/>
    <mergeCell ref="CK1:CK2"/>
    <mergeCell ref="CK3:CK4"/>
    <mergeCell ref="CK5:CK6"/>
    <mergeCell ref="CK7:CK8"/>
    <mergeCell ref="DC1:DC2"/>
    <mergeCell ref="DC3:DC4"/>
    <mergeCell ref="DC5:DC6"/>
    <mergeCell ref="DC7:DC8"/>
    <mergeCell ref="DD1:DD2"/>
    <mergeCell ref="DD3:DD4"/>
    <mergeCell ref="DD5:DD6"/>
    <mergeCell ref="DD7:DD8"/>
    <mergeCell ref="DF1:DI2"/>
    <mergeCell ref="DF3:DG4"/>
    <mergeCell ref="DH3:DI4"/>
    <mergeCell ref="DF5:DG6"/>
    <mergeCell ref="DH5:DI6"/>
    <mergeCell ref="DF11:DG12"/>
    <mergeCell ref="DH11:DI12"/>
    <mergeCell ref="DF7:DG8"/>
    <mergeCell ref="DH7:DI8"/>
    <mergeCell ref="DF9:DG10"/>
    <mergeCell ref="DH9:DI10"/>
  </mergeCells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36"/>
  <sheetViews>
    <sheetView zoomScale="83" zoomScaleNormal="83" topLeftCell="CU1" workbookViewId="0">
      <selection activeCell="DL9" sqref="DL9"/>
    </sheetView>
  </sheetViews>
  <sheetFormatPr defaultColWidth="11" defaultRowHeight="14.4"/>
  <cols>
    <col min="1" max="2" width="11.712962962963" customWidth="1"/>
    <col min="3" max="3" width="10.8518518518519" customWidth="1"/>
    <col min="4" max="9" width="11.712962962963" customWidth="1"/>
    <col min="10" max="10" width="1.71296296296296" customWidth="1"/>
    <col min="11" max="11" width="11.712962962963" customWidth="1"/>
    <col min="12" max="12" width="12" customWidth="1"/>
    <col min="13" max="14" width="11.712962962963" customWidth="1"/>
    <col min="15" max="16" width="10.8518518518519" customWidth="1"/>
    <col min="17" max="17" width="11.712962962963" customWidth="1"/>
    <col min="18" max="18" width="1.71296296296296" customWidth="1"/>
    <col min="19" max="19" width="10.5740740740741" customWidth="1"/>
    <col min="20" max="20" width="13.712962962963" customWidth="1"/>
    <col min="21" max="21" width="1.71296296296296" customWidth="1"/>
    <col min="22" max="22" width="11.712962962963" customWidth="1"/>
    <col min="23" max="23" width="13.4259259259259" style="67" customWidth="1"/>
    <col min="25" max="26" width="10.8518518518519" customWidth="1"/>
    <col min="27" max="28" width="11" customWidth="1"/>
    <col min="29" max="32" width="10.8518518518519" customWidth="1"/>
    <col min="33" max="33" width="12" customWidth="1"/>
    <col min="34" max="34" width="1.71296296296296" customWidth="1"/>
    <col min="35" max="37" width="10.8518518518519" customWidth="1"/>
    <col min="38" max="38" width="12" customWidth="1"/>
    <col min="39" max="39" width="13.712962962963" customWidth="1"/>
    <col min="40" max="40" width="12" customWidth="1"/>
    <col min="41" max="41" width="1.71296296296296" customWidth="1"/>
    <col min="42" max="42" width="11" customWidth="1"/>
    <col min="43" max="43" width="13.712962962963" customWidth="1"/>
    <col min="44" max="44" width="1.71296296296296" customWidth="1"/>
    <col min="45" max="45" width="11.712962962963" customWidth="1"/>
    <col min="46" max="46" width="14.1388888888889" style="67" customWidth="1"/>
    <col min="48" max="56" width="11.712962962963" customWidth="1"/>
    <col min="57" max="57" width="1.71296296296296" customWidth="1"/>
    <col min="58" max="65" width="11.712962962963" customWidth="1"/>
    <col min="66" max="66" width="1.71296296296296" customWidth="1"/>
    <col min="67" max="68" width="11.712962962963" customWidth="1"/>
    <col min="69" max="69" width="1.71296296296296" customWidth="1"/>
    <col min="70" max="70" width="11.712962962963" customWidth="1"/>
    <col min="71" max="71" width="13.4259259259259" style="67" customWidth="1"/>
    <col min="73" max="73" width="12" customWidth="1"/>
    <col min="74" max="79" width="11.712962962963" customWidth="1"/>
    <col min="80" max="80" width="10.8518518518519" customWidth="1"/>
    <col min="81" max="81" width="11.712962962963" customWidth="1"/>
    <col min="82" max="82" width="1.71296296296296" customWidth="1"/>
    <col min="83" max="83" width="10.8518518518519" customWidth="1"/>
    <col min="84" max="85" width="12" customWidth="1"/>
    <col min="86" max="88" width="10.8518518518519" customWidth="1"/>
    <col min="89" max="89" width="1.57407407407407" customWidth="1"/>
    <col min="90" max="90" width="11" customWidth="1"/>
    <col min="91" max="91" width="13.712962962963" customWidth="1"/>
    <col min="92" max="92" width="2.28703703703704" customWidth="1"/>
    <col min="93" max="93" width="13.4259259259259" customWidth="1"/>
    <col min="94" max="94" width="13.4259259259259" style="67" customWidth="1"/>
    <col min="95" max="95" width="11.712962962963" customWidth="1"/>
    <col min="96" max="97" width="10.8518518518519" customWidth="1"/>
    <col min="98" max="103" width="11.712962962963" customWidth="1"/>
    <col min="104" max="104" width="1.71296296296296" customWidth="1"/>
    <col min="105" max="105" width="10.8518518518519" customWidth="1"/>
    <col min="106" max="109" width="11.712962962963" customWidth="1"/>
    <col min="110" max="110" width="10.8518518518519" customWidth="1"/>
    <col min="111" max="111" width="1.71296296296296" customWidth="1"/>
    <col min="112" max="112" width="7.57407407407407" customWidth="1"/>
    <col min="113" max="113" width="13.712962962963" customWidth="1"/>
    <col min="114" max="114" width="1.71296296296296" customWidth="1"/>
    <col min="115" max="115" width="11.712962962963" customWidth="1"/>
    <col min="116" max="116" width="14.1388888888889" style="67" customWidth="1"/>
    <col min="117" max="117" width="9.42592592592593" customWidth="1"/>
    <col min="118" max="118" width="8.28703703703704" customWidth="1"/>
    <col min="119" max="119" width="7.13888888888889" customWidth="1"/>
    <col min="120" max="120" width="6.85185185185185" customWidth="1"/>
    <col min="121" max="121" width="17.5740740740741" customWidth="1"/>
  </cols>
  <sheetData>
    <row r="1" ht="15" customHeight="1" spans="1:121">
      <c r="A1" s="10">
        <v>1200</v>
      </c>
      <c r="B1" s="10">
        <v>5000</v>
      </c>
      <c r="C1" s="10">
        <v>10000</v>
      </c>
      <c r="D1" s="10">
        <v>4000</v>
      </c>
      <c r="E1" s="10">
        <v>2500</v>
      </c>
      <c r="F1" s="10">
        <v>3000</v>
      </c>
      <c r="G1" s="10">
        <v>800</v>
      </c>
      <c r="H1" s="10">
        <v>1000</v>
      </c>
      <c r="I1" s="10">
        <v>6500</v>
      </c>
      <c r="J1" s="11"/>
      <c r="K1" s="13" t="s">
        <v>0</v>
      </c>
      <c r="L1" s="14"/>
      <c r="M1" s="14"/>
      <c r="N1" s="14"/>
      <c r="O1" s="14"/>
      <c r="P1" s="14"/>
      <c r="Q1" s="15"/>
      <c r="R1" s="11"/>
      <c r="S1" s="16" t="s">
        <v>1</v>
      </c>
      <c r="T1" s="17"/>
      <c r="U1" s="11"/>
      <c r="V1" s="22" t="s">
        <v>2</v>
      </c>
      <c r="W1" s="69"/>
      <c r="X1" s="24"/>
      <c r="Y1" s="10">
        <v>3000</v>
      </c>
      <c r="Z1" s="10">
        <v>900</v>
      </c>
      <c r="AA1" s="10">
        <v>9000</v>
      </c>
      <c r="AB1" s="10">
        <v>2000</v>
      </c>
      <c r="AC1" s="10">
        <v>4300</v>
      </c>
      <c r="AD1" s="10">
        <v>13000</v>
      </c>
      <c r="AE1" s="10">
        <v>4500</v>
      </c>
      <c r="AF1" s="10">
        <v>2000</v>
      </c>
      <c r="AG1" s="10">
        <v>355700</v>
      </c>
      <c r="AH1" s="11"/>
      <c r="AI1" s="13" t="s">
        <v>0</v>
      </c>
      <c r="AJ1" s="14"/>
      <c r="AK1" s="14"/>
      <c r="AL1" s="14"/>
      <c r="AM1" s="14"/>
      <c r="AN1" s="15"/>
      <c r="AO1" s="11"/>
      <c r="AP1" s="16" t="s">
        <v>1</v>
      </c>
      <c r="AQ1" s="17"/>
      <c r="AR1" s="11"/>
      <c r="AS1" s="22" t="s">
        <v>2</v>
      </c>
      <c r="AT1" s="69"/>
      <c r="AV1" s="10">
        <v>3500</v>
      </c>
      <c r="AW1" s="10">
        <v>3500</v>
      </c>
      <c r="AX1" s="10">
        <v>2000</v>
      </c>
      <c r="AY1" s="10">
        <v>11800</v>
      </c>
      <c r="AZ1" s="10">
        <v>27000</v>
      </c>
      <c r="BA1" s="10">
        <v>3000</v>
      </c>
      <c r="BB1" s="10">
        <v>8000</v>
      </c>
      <c r="BC1" s="10">
        <v>1500</v>
      </c>
      <c r="BD1" s="10">
        <v>1500</v>
      </c>
      <c r="BE1" s="11"/>
      <c r="BF1" s="13" t="s">
        <v>0</v>
      </c>
      <c r="BG1" s="14"/>
      <c r="BH1" s="14"/>
      <c r="BI1" s="14"/>
      <c r="BJ1" s="14"/>
      <c r="BK1" s="14"/>
      <c r="BL1" s="14"/>
      <c r="BM1" s="15"/>
      <c r="BN1" s="11"/>
      <c r="BO1" s="16" t="s">
        <v>1</v>
      </c>
      <c r="BP1" s="17"/>
      <c r="BQ1" s="11"/>
      <c r="BR1" s="22" t="s">
        <v>2</v>
      </c>
      <c r="BS1" s="69"/>
      <c r="BU1" s="10">
        <v>101500</v>
      </c>
      <c r="BV1" s="10">
        <v>8500</v>
      </c>
      <c r="BW1" s="10">
        <v>11000</v>
      </c>
      <c r="BX1" s="10">
        <v>2000</v>
      </c>
      <c r="BY1" s="10">
        <v>62500</v>
      </c>
      <c r="BZ1" s="10">
        <v>3500</v>
      </c>
      <c r="CA1" s="10">
        <v>600</v>
      </c>
      <c r="CB1" s="10">
        <v>1200</v>
      </c>
      <c r="CC1" s="10">
        <v>206050</v>
      </c>
      <c r="CD1" s="11"/>
      <c r="CE1" s="13" t="s">
        <v>0</v>
      </c>
      <c r="CF1" s="14"/>
      <c r="CG1" s="14"/>
      <c r="CH1" s="14"/>
      <c r="CI1" s="14"/>
      <c r="CJ1" s="15"/>
      <c r="CK1" s="11"/>
      <c r="CL1" s="16" t="s">
        <v>1</v>
      </c>
      <c r="CM1" s="17"/>
      <c r="CN1" s="11"/>
      <c r="CO1" s="22" t="s">
        <v>2</v>
      </c>
      <c r="CP1" s="69"/>
      <c r="CR1" s="10">
        <v>7500</v>
      </c>
      <c r="CS1" s="10">
        <v>29000</v>
      </c>
      <c r="CT1" s="10">
        <v>800</v>
      </c>
      <c r="CU1" s="10"/>
      <c r="CV1" s="10"/>
      <c r="CW1" s="10"/>
      <c r="CX1" s="10"/>
      <c r="CY1" s="10"/>
      <c r="CZ1" s="11"/>
      <c r="DA1" s="13" t="s">
        <v>0</v>
      </c>
      <c r="DB1" s="14"/>
      <c r="DC1" s="14"/>
      <c r="DD1" s="14"/>
      <c r="DE1" s="14"/>
      <c r="DF1" s="15"/>
      <c r="DG1" s="11"/>
      <c r="DH1" s="16" t="s">
        <v>1</v>
      </c>
      <c r="DI1" s="17"/>
      <c r="DJ1" s="11"/>
      <c r="DK1" s="22" t="s">
        <v>2</v>
      </c>
      <c r="DL1" s="69"/>
      <c r="DN1" s="37" t="s">
        <v>3</v>
      </c>
      <c r="DO1" s="45"/>
      <c r="DP1" s="45"/>
      <c r="DQ1" s="46"/>
    </row>
    <row r="2" ht="15" customHeight="1" spans="1:121">
      <c r="A2" s="12">
        <v>4500</v>
      </c>
      <c r="B2" s="12">
        <v>4500</v>
      </c>
      <c r="C2" s="12">
        <v>3000</v>
      </c>
      <c r="D2" s="12">
        <v>14000</v>
      </c>
      <c r="E2" s="12">
        <v>3000</v>
      </c>
      <c r="F2" s="12">
        <v>2400</v>
      </c>
      <c r="G2" s="12">
        <v>1500</v>
      </c>
      <c r="H2" s="12">
        <v>20000</v>
      </c>
      <c r="I2" s="12">
        <v>1600</v>
      </c>
      <c r="J2" s="11"/>
      <c r="K2" s="68">
        <v>3000</v>
      </c>
      <c r="L2" s="68">
        <v>6000</v>
      </c>
      <c r="M2" s="68">
        <v>4000</v>
      </c>
      <c r="N2" s="10">
        <v>4000</v>
      </c>
      <c r="O2" s="10">
        <v>1500</v>
      </c>
      <c r="P2" s="10">
        <v>13300</v>
      </c>
      <c r="Q2" s="10">
        <v>10000</v>
      </c>
      <c r="R2" s="11"/>
      <c r="S2" s="20" t="s">
        <v>5</v>
      </c>
      <c r="T2" s="10">
        <v>114600</v>
      </c>
      <c r="U2" s="11"/>
      <c r="V2" s="25"/>
      <c r="W2" s="70"/>
      <c r="X2" s="24"/>
      <c r="Y2" s="12">
        <v>4000</v>
      </c>
      <c r="Z2" s="12">
        <v>1600</v>
      </c>
      <c r="AA2" s="12">
        <v>15250</v>
      </c>
      <c r="AB2" s="12">
        <v>5000</v>
      </c>
      <c r="AC2" s="12">
        <v>80000</v>
      </c>
      <c r="AD2" s="12">
        <v>3700</v>
      </c>
      <c r="AE2" s="12">
        <v>12000</v>
      </c>
      <c r="AF2" s="12">
        <v>3000</v>
      </c>
      <c r="AG2" s="12">
        <v>20000</v>
      </c>
      <c r="AH2" s="11"/>
      <c r="AI2" s="68">
        <v>13500</v>
      </c>
      <c r="AJ2" s="68">
        <v>7500</v>
      </c>
      <c r="AK2" s="68">
        <v>36000</v>
      </c>
      <c r="AL2" s="68">
        <v>24000</v>
      </c>
      <c r="AM2" s="68">
        <v>22500</v>
      </c>
      <c r="AN2" s="68">
        <v>694600</v>
      </c>
      <c r="AO2" s="11"/>
      <c r="AP2" s="20" t="s">
        <v>38</v>
      </c>
      <c r="AQ2" s="10">
        <v>48100</v>
      </c>
      <c r="AR2" s="11"/>
      <c r="AS2" s="25"/>
      <c r="AT2" s="70"/>
      <c r="AV2" s="12">
        <v>3500</v>
      </c>
      <c r="AW2" s="12">
        <v>9000</v>
      </c>
      <c r="AX2" s="12">
        <v>4000</v>
      </c>
      <c r="AY2" s="12">
        <v>7500</v>
      </c>
      <c r="AZ2" s="12">
        <v>2000</v>
      </c>
      <c r="BA2" s="12">
        <v>6500</v>
      </c>
      <c r="BB2" s="12">
        <v>300</v>
      </c>
      <c r="BC2" s="12">
        <v>13500</v>
      </c>
      <c r="BD2" s="12">
        <v>8000</v>
      </c>
      <c r="BE2" s="11"/>
      <c r="BF2" s="68">
        <v>20050</v>
      </c>
      <c r="BG2" s="68">
        <v>2400</v>
      </c>
      <c r="BH2" s="68">
        <v>4320</v>
      </c>
      <c r="BI2" s="68">
        <v>50000</v>
      </c>
      <c r="BJ2" s="10">
        <v>9000</v>
      </c>
      <c r="BK2" s="10">
        <v>10000</v>
      </c>
      <c r="BL2" s="10">
        <v>10500</v>
      </c>
      <c r="BM2" s="9">
        <v>6800</v>
      </c>
      <c r="BN2" s="11"/>
      <c r="BO2" s="20" t="s">
        <v>125</v>
      </c>
      <c r="BP2" s="10">
        <v>65300</v>
      </c>
      <c r="BQ2" s="11"/>
      <c r="BR2" s="25"/>
      <c r="BS2" s="70"/>
      <c r="BU2" s="12">
        <v>11000</v>
      </c>
      <c r="BV2" s="12">
        <v>1500</v>
      </c>
      <c r="BW2" s="12">
        <v>23500</v>
      </c>
      <c r="BX2" s="12">
        <v>1500</v>
      </c>
      <c r="BY2" s="12">
        <v>10000</v>
      </c>
      <c r="BZ2" s="12">
        <v>1000</v>
      </c>
      <c r="CA2" s="12">
        <v>200</v>
      </c>
      <c r="CB2" s="12">
        <v>13500</v>
      </c>
      <c r="CC2" s="12">
        <v>6000</v>
      </c>
      <c r="CD2" s="11"/>
      <c r="CE2" s="68">
        <v>2100</v>
      </c>
      <c r="CF2" s="68">
        <v>11740</v>
      </c>
      <c r="CG2" s="68">
        <v>14410</v>
      </c>
      <c r="CH2" s="68">
        <v>13000</v>
      </c>
      <c r="CI2" s="68">
        <v>52000</v>
      </c>
      <c r="CJ2" s="68">
        <v>11500</v>
      </c>
      <c r="CK2" s="11"/>
      <c r="CL2" s="20" t="s">
        <v>65</v>
      </c>
      <c r="CM2" s="10">
        <v>64199</v>
      </c>
      <c r="CN2" s="11"/>
      <c r="CO2" s="25"/>
      <c r="CP2" s="70"/>
      <c r="CR2" s="12">
        <v>7000</v>
      </c>
      <c r="CS2" s="12">
        <v>12000</v>
      </c>
      <c r="CT2" s="12">
        <v>8000</v>
      </c>
      <c r="CU2" s="12"/>
      <c r="CV2" s="12"/>
      <c r="CW2" s="12"/>
      <c r="CX2" s="12"/>
      <c r="CY2" s="12"/>
      <c r="CZ2" s="11"/>
      <c r="DA2" s="68">
        <v>6000</v>
      </c>
      <c r="DB2" s="68">
        <v>1500</v>
      </c>
      <c r="DC2" s="10"/>
      <c r="DD2" s="10"/>
      <c r="DE2" s="10"/>
      <c r="DF2" s="68">
        <v>24000</v>
      </c>
      <c r="DG2" s="11"/>
      <c r="DH2" s="20" t="s">
        <v>38</v>
      </c>
      <c r="DI2" s="10">
        <v>50000</v>
      </c>
      <c r="DJ2" s="11"/>
      <c r="DK2" s="25"/>
      <c r="DL2" s="70"/>
      <c r="DN2" s="38"/>
      <c r="DO2" s="47"/>
      <c r="DP2" s="47"/>
      <c r="DQ2" s="48"/>
    </row>
    <row r="3" ht="15" customHeight="1" spans="1:121">
      <c r="A3" s="9">
        <v>18000</v>
      </c>
      <c r="B3" s="9">
        <v>1000</v>
      </c>
      <c r="C3" s="9">
        <v>2500</v>
      </c>
      <c r="D3" s="9">
        <v>1000</v>
      </c>
      <c r="E3" s="9">
        <v>8000</v>
      </c>
      <c r="F3" s="9">
        <v>9400</v>
      </c>
      <c r="G3" s="9">
        <v>3500</v>
      </c>
      <c r="H3" s="9">
        <v>3400</v>
      </c>
      <c r="I3" s="9">
        <v>2000</v>
      </c>
      <c r="J3" s="11"/>
      <c r="K3" s="68">
        <v>32000</v>
      </c>
      <c r="L3" s="68">
        <v>22360</v>
      </c>
      <c r="M3" s="68">
        <v>16000</v>
      </c>
      <c r="N3" s="10">
        <v>2100</v>
      </c>
      <c r="O3" s="10">
        <v>3500</v>
      </c>
      <c r="P3" s="10">
        <v>5000</v>
      </c>
      <c r="Q3" s="10">
        <v>8000</v>
      </c>
      <c r="R3" s="19"/>
      <c r="S3" s="20" t="s">
        <v>11</v>
      </c>
      <c r="T3" s="10">
        <v>228093</v>
      </c>
      <c r="U3" s="11">
        <v>1</v>
      </c>
      <c r="V3" s="27" t="s">
        <v>9</v>
      </c>
      <c r="W3" s="69">
        <f>SUM(A1:J35)</f>
        <v>2444100</v>
      </c>
      <c r="X3" s="24"/>
      <c r="Y3" s="9">
        <v>4600</v>
      </c>
      <c r="Z3" s="9">
        <v>1000</v>
      </c>
      <c r="AA3" s="9">
        <v>1500</v>
      </c>
      <c r="AB3" s="9">
        <v>300</v>
      </c>
      <c r="AC3" s="9">
        <v>10000</v>
      </c>
      <c r="AD3" s="9">
        <v>2500</v>
      </c>
      <c r="AE3" s="9">
        <v>300</v>
      </c>
      <c r="AF3" s="9">
        <v>2000</v>
      </c>
      <c r="AG3" s="9">
        <v>3500</v>
      </c>
      <c r="AH3" s="11"/>
      <c r="AI3" s="68">
        <v>1500</v>
      </c>
      <c r="AJ3" s="68">
        <v>2700</v>
      </c>
      <c r="AK3" s="68">
        <v>8000</v>
      </c>
      <c r="AL3" s="68">
        <v>25000</v>
      </c>
      <c r="AM3" s="68">
        <v>1000</v>
      </c>
      <c r="AN3" s="68">
        <v>2500</v>
      </c>
      <c r="AO3" s="19"/>
      <c r="AP3" s="20" t="s">
        <v>22</v>
      </c>
      <c r="AQ3" s="10">
        <v>721300</v>
      </c>
      <c r="AR3" s="11">
        <v>1</v>
      </c>
      <c r="AS3" s="27" t="s">
        <v>9</v>
      </c>
      <c r="AT3" s="69">
        <f>SUM(Y1:AH35)</f>
        <v>2262750</v>
      </c>
      <c r="AV3" s="9">
        <v>90000</v>
      </c>
      <c r="AW3" s="9">
        <v>100000</v>
      </c>
      <c r="AX3" s="9">
        <v>7000</v>
      </c>
      <c r="AY3" s="9">
        <v>5000</v>
      </c>
      <c r="AZ3" s="9">
        <v>2000</v>
      </c>
      <c r="BA3" s="9">
        <v>8000</v>
      </c>
      <c r="BB3" s="9">
        <v>1000</v>
      </c>
      <c r="BC3" s="9">
        <v>5500</v>
      </c>
      <c r="BD3" s="9">
        <v>10000</v>
      </c>
      <c r="BE3" s="11"/>
      <c r="BF3" s="68">
        <v>88860</v>
      </c>
      <c r="BG3" s="68">
        <v>5000</v>
      </c>
      <c r="BH3" s="68">
        <v>7920</v>
      </c>
      <c r="BI3" s="68">
        <v>44670</v>
      </c>
      <c r="BJ3" s="10">
        <v>8000</v>
      </c>
      <c r="BK3" s="10">
        <v>10000</v>
      </c>
      <c r="BL3" s="10">
        <v>7500</v>
      </c>
      <c r="BM3" s="9">
        <v>300</v>
      </c>
      <c r="BN3" s="19"/>
      <c r="BO3" s="20" t="s">
        <v>27</v>
      </c>
      <c r="BP3" s="10">
        <v>92200</v>
      </c>
      <c r="BQ3" s="11">
        <v>1</v>
      </c>
      <c r="BR3" s="27" t="s">
        <v>9</v>
      </c>
      <c r="BS3" s="69">
        <f>SUM(AV1:BD35)</f>
        <v>2951500</v>
      </c>
      <c r="BU3" s="9">
        <v>16000</v>
      </c>
      <c r="BV3" s="9">
        <v>6000</v>
      </c>
      <c r="BW3" s="9">
        <v>500</v>
      </c>
      <c r="BX3" s="9">
        <v>7000</v>
      </c>
      <c r="BY3" s="9">
        <v>1600</v>
      </c>
      <c r="BZ3" s="9">
        <v>6500</v>
      </c>
      <c r="CA3" s="9">
        <v>2000</v>
      </c>
      <c r="CB3" s="9">
        <v>5000</v>
      </c>
      <c r="CC3" s="9">
        <v>7000</v>
      </c>
      <c r="CD3" s="11"/>
      <c r="CE3" s="68">
        <v>61100</v>
      </c>
      <c r="CF3" s="68">
        <v>2500</v>
      </c>
      <c r="CG3" s="68">
        <v>4500</v>
      </c>
      <c r="CH3" s="68">
        <v>4600</v>
      </c>
      <c r="CI3" s="68">
        <v>500</v>
      </c>
      <c r="CJ3" s="68">
        <v>2000</v>
      </c>
      <c r="CK3" s="19"/>
      <c r="CL3" s="20" t="s">
        <v>34</v>
      </c>
      <c r="CM3" s="10">
        <v>39000</v>
      </c>
      <c r="CN3" s="11"/>
      <c r="CO3" s="27" t="s">
        <v>9</v>
      </c>
      <c r="CP3" s="69">
        <f>SUM(BU1:CD35)</f>
        <v>2989500</v>
      </c>
      <c r="CR3" s="9">
        <v>6000</v>
      </c>
      <c r="CS3" s="9">
        <v>19300</v>
      </c>
      <c r="CT3" s="9">
        <v>6500</v>
      </c>
      <c r="CU3" s="9"/>
      <c r="CV3" s="9"/>
      <c r="CW3" s="9"/>
      <c r="CX3" s="9"/>
      <c r="CY3" s="9"/>
      <c r="CZ3" s="11"/>
      <c r="DA3" s="68">
        <v>3500</v>
      </c>
      <c r="DB3" s="68">
        <v>11000</v>
      </c>
      <c r="DC3" s="10"/>
      <c r="DD3" s="10"/>
      <c r="DE3" s="10"/>
      <c r="DF3" s="68">
        <v>11700</v>
      </c>
      <c r="DG3" s="19"/>
      <c r="DH3" s="20" t="s">
        <v>181</v>
      </c>
      <c r="DI3" s="10">
        <v>185490</v>
      </c>
      <c r="DJ3" s="11">
        <v>1</v>
      </c>
      <c r="DK3" s="27" t="s">
        <v>9</v>
      </c>
      <c r="DL3" s="69">
        <f>SUM(CR1:CZ35)</f>
        <v>1082300</v>
      </c>
      <c r="DN3" s="39" t="s">
        <v>9</v>
      </c>
      <c r="DO3" s="49"/>
      <c r="DP3" s="50">
        <f>SUM(W3,AT3,BS3,CP3,DL3)</f>
        <v>11730150</v>
      </c>
      <c r="DQ3" s="51"/>
    </row>
    <row r="4" ht="15" customHeight="1" spans="1:121">
      <c r="A4" s="9">
        <v>10000</v>
      </c>
      <c r="B4" s="9">
        <v>12000</v>
      </c>
      <c r="C4" s="9">
        <v>4500</v>
      </c>
      <c r="D4" s="9">
        <v>6600</v>
      </c>
      <c r="E4" s="9">
        <v>1000</v>
      </c>
      <c r="F4" s="9">
        <v>58000</v>
      </c>
      <c r="G4" s="9">
        <v>500</v>
      </c>
      <c r="H4" s="9">
        <v>2000</v>
      </c>
      <c r="I4" s="9">
        <v>19000</v>
      </c>
      <c r="J4" s="11"/>
      <c r="K4" s="68">
        <v>5760</v>
      </c>
      <c r="L4" s="68">
        <v>3000</v>
      </c>
      <c r="M4" s="68">
        <v>1000</v>
      </c>
      <c r="N4" s="10">
        <v>44000</v>
      </c>
      <c r="O4" s="10">
        <v>21000</v>
      </c>
      <c r="P4" s="10">
        <v>12000</v>
      </c>
      <c r="Q4" s="10">
        <v>28000</v>
      </c>
      <c r="R4" s="19"/>
      <c r="S4" s="20" t="s">
        <v>140</v>
      </c>
      <c r="T4" s="10">
        <v>996700</v>
      </c>
      <c r="U4" s="11"/>
      <c r="V4" s="28"/>
      <c r="W4" s="70"/>
      <c r="X4" s="24"/>
      <c r="Y4" s="9">
        <v>1000</v>
      </c>
      <c r="Z4" s="9">
        <v>3000</v>
      </c>
      <c r="AA4" s="9">
        <v>20000</v>
      </c>
      <c r="AB4" s="9">
        <v>2000</v>
      </c>
      <c r="AC4" s="9">
        <v>8500</v>
      </c>
      <c r="AD4" s="9">
        <v>8500</v>
      </c>
      <c r="AE4" s="9">
        <v>10000</v>
      </c>
      <c r="AF4" s="9">
        <v>500</v>
      </c>
      <c r="AG4" s="9">
        <v>1500</v>
      </c>
      <c r="AH4" s="11"/>
      <c r="AI4" s="68">
        <v>30000</v>
      </c>
      <c r="AJ4" s="68">
        <v>13500</v>
      </c>
      <c r="AK4" s="68">
        <v>4500</v>
      </c>
      <c r="AL4" s="68">
        <v>1000</v>
      </c>
      <c r="AM4" s="68">
        <v>4000</v>
      </c>
      <c r="AN4" s="68">
        <v>28000</v>
      </c>
      <c r="AO4" s="19"/>
      <c r="AP4" s="20" t="s">
        <v>34</v>
      </c>
      <c r="AQ4" s="10">
        <v>12000</v>
      </c>
      <c r="AR4" s="11"/>
      <c r="AS4" s="28"/>
      <c r="AT4" s="70"/>
      <c r="AV4" s="9">
        <v>4000</v>
      </c>
      <c r="AW4" s="9">
        <v>15700</v>
      </c>
      <c r="AX4" s="9">
        <v>2000</v>
      </c>
      <c r="AY4" s="9">
        <v>11000</v>
      </c>
      <c r="AZ4" s="9">
        <v>9000</v>
      </c>
      <c r="BA4" s="9">
        <v>3000</v>
      </c>
      <c r="BB4" s="9">
        <v>800</v>
      </c>
      <c r="BC4" s="9">
        <v>4500</v>
      </c>
      <c r="BD4" s="9">
        <v>1600</v>
      </c>
      <c r="BE4" s="11"/>
      <c r="BF4" s="68">
        <v>11050</v>
      </c>
      <c r="BG4" s="68">
        <v>3000</v>
      </c>
      <c r="BH4" s="68">
        <v>57640</v>
      </c>
      <c r="BI4" s="68">
        <v>7000</v>
      </c>
      <c r="BJ4" s="10">
        <v>5500</v>
      </c>
      <c r="BK4" s="10">
        <v>4000</v>
      </c>
      <c r="BL4" s="10">
        <v>3500</v>
      </c>
      <c r="BM4" s="9">
        <v>10000</v>
      </c>
      <c r="BN4" s="19"/>
      <c r="BO4" s="20" t="s">
        <v>60</v>
      </c>
      <c r="BP4" s="10">
        <v>312400</v>
      </c>
      <c r="BQ4" s="11"/>
      <c r="BR4" s="28"/>
      <c r="BS4" s="70"/>
      <c r="BU4" s="9">
        <v>1500</v>
      </c>
      <c r="BV4" s="9">
        <v>4000</v>
      </c>
      <c r="BW4" s="9">
        <v>3500</v>
      </c>
      <c r="BX4" s="9">
        <v>4500</v>
      </c>
      <c r="BY4" s="9">
        <v>5500</v>
      </c>
      <c r="BZ4" s="9">
        <v>93800</v>
      </c>
      <c r="CA4" s="9">
        <v>1000</v>
      </c>
      <c r="CB4" s="9">
        <v>10000</v>
      </c>
      <c r="CC4" s="9">
        <v>5000</v>
      </c>
      <c r="CD4" s="11"/>
      <c r="CE4" s="68">
        <v>4500</v>
      </c>
      <c r="CF4" s="68">
        <v>1800</v>
      </c>
      <c r="CG4" s="68">
        <v>30000</v>
      </c>
      <c r="CH4" s="68">
        <v>5500</v>
      </c>
      <c r="CI4" s="68">
        <v>16000</v>
      </c>
      <c r="CJ4" s="68">
        <v>6000</v>
      </c>
      <c r="CK4" s="19"/>
      <c r="CL4" s="20" t="s">
        <v>80</v>
      </c>
      <c r="CM4" s="10">
        <v>351000</v>
      </c>
      <c r="CN4" s="11"/>
      <c r="CO4" s="28"/>
      <c r="CP4" s="70"/>
      <c r="CR4" s="9">
        <v>4500</v>
      </c>
      <c r="CS4" s="9">
        <v>6000</v>
      </c>
      <c r="CT4" s="9">
        <v>3000</v>
      </c>
      <c r="CU4" s="9"/>
      <c r="CV4" s="9"/>
      <c r="CW4" s="9"/>
      <c r="CX4" s="9"/>
      <c r="CY4" s="9"/>
      <c r="CZ4" s="11"/>
      <c r="DA4" s="68">
        <v>3000</v>
      </c>
      <c r="DB4" s="68">
        <v>6720</v>
      </c>
      <c r="DC4" s="10"/>
      <c r="DD4" s="10"/>
      <c r="DE4" s="10"/>
      <c r="DF4" s="68">
        <v>12000</v>
      </c>
      <c r="DG4" s="19"/>
      <c r="DH4" s="20" t="s">
        <v>15</v>
      </c>
      <c r="DI4" s="10">
        <v>263530</v>
      </c>
      <c r="DJ4" s="11"/>
      <c r="DK4" s="28"/>
      <c r="DL4" s="70"/>
      <c r="DN4" s="40"/>
      <c r="DO4" s="52"/>
      <c r="DP4" s="53"/>
      <c r="DQ4" s="54"/>
    </row>
    <row r="5" ht="15" customHeight="1" spans="1:121">
      <c r="A5" s="9">
        <v>4500</v>
      </c>
      <c r="B5" s="9">
        <v>13000</v>
      </c>
      <c r="C5" s="9">
        <v>1500</v>
      </c>
      <c r="D5" s="9">
        <v>10000</v>
      </c>
      <c r="E5" s="9">
        <v>2000</v>
      </c>
      <c r="F5" s="9">
        <v>5000</v>
      </c>
      <c r="G5" s="9">
        <v>7000</v>
      </c>
      <c r="H5" s="9">
        <v>7000</v>
      </c>
      <c r="I5" s="9">
        <v>4000</v>
      </c>
      <c r="J5" s="11"/>
      <c r="K5" s="68">
        <v>5000</v>
      </c>
      <c r="L5" s="68">
        <v>30490</v>
      </c>
      <c r="M5" s="68">
        <v>28820</v>
      </c>
      <c r="N5" s="10">
        <v>18000</v>
      </c>
      <c r="O5" s="10">
        <v>7100</v>
      </c>
      <c r="P5" s="10">
        <v>600</v>
      </c>
      <c r="Q5" s="10">
        <v>4000</v>
      </c>
      <c r="R5" s="19"/>
      <c r="S5" s="20" t="s">
        <v>52</v>
      </c>
      <c r="T5" s="10">
        <v>266210</v>
      </c>
      <c r="U5" s="11"/>
      <c r="V5" s="27" t="s">
        <v>17</v>
      </c>
      <c r="W5" s="69">
        <f>SUM(K2:Q35)</f>
        <v>2803610</v>
      </c>
      <c r="X5" s="24"/>
      <c r="Y5" s="9">
        <v>500</v>
      </c>
      <c r="Z5" s="9">
        <v>3000</v>
      </c>
      <c r="AA5" s="9">
        <v>3000</v>
      </c>
      <c r="AB5" s="9">
        <v>1000</v>
      </c>
      <c r="AC5" s="9">
        <v>3000</v>
      </c>
      <c r="AD5" s="9">
        <v>3200</v>
      </c>
      <c r="AE5" s="9">
        <v>3000</v>
      </c>
      <c r="AF5" s="9">
        <v>17500</v>
      </c>
      <c r="AG5" s="9">
        <v>1000</v>
      </c>
      <c r="AH5" s="11"/>
      <c r="AI5" s="68">
        <v>27000</v>
      </c>
      <c r="AJ5" s="68">
        <v>1000</v>
      </c>
      <c r="AK5" s="68">
        <v>17290</v>
      </c>
      <c r="AL5" s="68">
        <v>10000</v>
      </c>
      <c r="AM5" s="68">
        <v>3000</v>
      </c>
      <c r="AN5" s="68">
        <v>5000</v>
      </c>
      <c r="AO5" s="19"/>
      <c r="AP5" s="20" t="s">
        <v>58</v>
      </c>
      <c r="AQ5" s="10">
        <v>68000</v>
      </c>
      <c r="AR5" s="11"/>
      <c r="AS5" s="27" t="s">
        <v>17</v>
      </c>
      <c r="AT5" s="69">
        <f>SUM(AI2:AN35)</f>
        <v>2823070</v>
      </c>
      <c r="AV5" s="9">
        <v>10000</v>
      </c>
      <c r="AW5" s="9">
        <v>4500</v>
      </c>
      <c r="AX5" s="9">
        <v>2500</v>
      </c>
      <c r="AY5" s="9">
        <v>23300</v>
      </c>
      <c r="AZ5" s="9">
        <v>14000</v>
      </c>
      <c r="BA5" s="9">
        <v>7000</v>
      </c>
      <c r="BB5" s="9">
        <v>8500</v>
      </c>
      <c r="BC5" s="9">
        <v>3000</v>
      </c>
      <c r="BD5" s="9">
        <v>5000</v>
      </c>
      <c r="BE5" s="11"/>
      <c r="BF5" s="68">
        <v>6500</v>
      </c>
      <c r="BG5" s="68">
        <v>33000</v>
      </c>
      <c r="BH5" s="68">
        <v>34500</v>
      </c>
      <c r="BI5" s="68">
        <v>10000</v>
      </c>
      <c r="BJ5" s="10">
        <v>2000</v>
      </c>
      <c r="BK5" s="10">
        <v>40000</v>
      </c>
      <c r="BL5" s="10">
        <v>10000</v>
      </c>
      <c r="BM5" s="9">
        <v>4500</v>
      </c>
      <c r="BN5" s="19"/>
      <c r="BO5" s="20" t="s">
        <v>10</v>
      </c>
      <c r="BP5" s="10">
        <v>251700</v>
      </c>
      <c r="BQ5" s="11"/>
      <c r="BR5" s="27" t="s">
        <v>17</v>
      </c>
      <c r="BS5" s="69">
        <f>SUM(BF2:BM35)</f>
        <v>3046420</v>
      </c>
      <c r="BU5" s="9">
        <v>60000</v>
      </c>
      <c r="BV5" s="9">
        <v>1000</v>
      </c>
      <c r="BW5" s="9">
        <v>3000</v>
      </c>
      <c r="BX5" s="9">
        <v>10000</v>
      </c>
      <c r="BY5" s="9">
        <v>15000</v>
      </c>
      <c r="BZ5" s="9">
        <v>40000</v>
      </c>
      <c r="CA5" s="9">
        <v>3000</v>
      </c>
      <c r="CB5" s="9">
        <v>4500</v>
      </c>
      <c r="CC5" s="9">
        <v>8000</v>
      </c>
      <c r="CD5" s="11"/>
      <c r="CE5" s="68">
        <v>7520</v>
      </c>
      <c r="CF5" s="68">
        <v>9000</v>
      </c>
      <c r="CG5" s="68">
        <v>17290</v>
      </c>
      <c r="CH5" s="68">
        <v>8000</v>
      </c>
      <c r="CI5" s="68">
        <v>18000</v>
      </c>
      <c r="CJ5" s="68">
        <v>10500</v>
      </c>
      <c r="CK5" s="19"/>
      <c r="CL5" s="20" t="s">
        <v>22</v>
      </c>
      <c r="CM5" s="10">
        <v>978000</v>
      </c>
      <c r="CN5" s="11"/>
      <c r="CO5" s="27" t="s">
        <v>17</v>
      </c>
      <c r="CP5" s="69">
        <f>SUM(CE2:CJ35)</f>
        <v>3171880</v>
      </c>
      <c r="CR5" s="9">
        <v>2000</v>
      </c>
      <c r="CS5" s="9">
        <v>6000</v>
      </c>
      <c r="CT5" s="9">
        <v>3500</v>
      </c>
      <c r="CU5" s="9"/>
      <c r="CV5" s="9"/>
      <c r="CW5" s="9"/>
      <c r="CX5" s="9"/>
      <c r="CY5" s="9"/>
      <c r="CZ5" s="11"/>
      <c r="DA5" s="68">
        <v>9610</v>
      </c>
      <c r="DB5" s="68">
        <v>15240</v>
      </c>
      <c r="DC5" s="10"/>
      <c r="DD5" s="10"/>
      <c r="DE5" s="10"/>
      <c r="DF5" s="68">
        <v>32000</v>
      </c>
      <c r="DG5" s="19"/>
      <c r="DH5" s="20" t="s">
        <v>125</v>
      </c>
      <c r="DI5" s="10">
        <v>108810</v>
      </c>
      <c r="DJ5" s="11"/>
      <c r="DK5" s="27" t="s">
        <v>17</v>
      </c>
      <c r="DL5" s="69">
        <f>SUM(DA2:DF35)</f>
        <v>936090</v>
      </c>
      <c r="DN5" s="39" t="s">
        <v>17</v>
      </c>
      <c r="DO5" s="49"/>
      <c r="DP5" s="50">
        <f>SUM(W5,AT5,BS5,CP5,DL5)</f>
        <v>12781070</v>
      </c>
      <c r="DQ5" s="51"/>
    </row>
    <row r="6" ht="15" customHeight="1" spans="1:121">
      <c r="A6" s="9">
        <v>3000</v>
      </c>
      <c r="B6" s="9">
        <v>6000</v>
      </c>
      <c r="C6" s="9">
        <v>4000</v>
      </c>
      <c r="D6" s="9">
        <v>17000</v>
      </c>
      <c r="E6" s="9">
        <v>1400</v>
      </c>
      <c r="F6" s="9">
        <v>2000</v>
      </c>
      <c r="G6" s="9">
        <v>1000</v>
      </c>
      <c r="H6" s="9">
        <v>5000</v>
      </c>
      <c r="I6" s="9">
        <v>5000</v>
      </c>
      <c r="J6" s="11"/>
      <c r="K6" s="68">
        <v>11500</v>
      </c>
      <c r="L6" s="68">
        <v>4320</v>
      </c>
      <c r="M6" s="68">
        <v>8000</v>
      </c>
      <c r="N6" s="10">
        <v>7000</v>
      </c>
      <c r="O6" s="10">
        <v>14000</v>
      </c>
      <c r="P6" s="10">
        <v>3500</v>
      </c>
      <c r="Q6" s="10">
        <v>24500</v>
      </c>
      <c r="R6" s="19"/>
      <c r="S6" s="20" t="s">
        <v>51</v>
      </c>
      <c r="T6" s="10">
        <v>100000</v>
      </c>
      <c r="U6" s="11"/>
      <c r="V6" s="28"/>
      <c r="W6" s="70"/>
      <c r="X6" s="24"/>
      <c r="Y6" s="9">
        <v>8000</v>
      </c>
      <c r="Z6" s="9">
        <v>1200</v>
      </c>
      <c r="AA6" s="9">
        <v>8000</v>
      </c>
      <c r="AB6" s="9">
        <v>600</v>
      </c>
      <c r="AC6" s="9">
        <v>5000</v>
      </c>
      <c r="AD6" s="9">
        <v>4500</v>
      </c>
      <c r="AE6" s="9">
        <v>600</v>
      </c>
      <c r="AF6" s="9">
        <v>3800</v>
      </c>
      <c r="AG6" s="9">
        <v>500</v>
      </c>
      <c r="AH6" s="11"/>
      <c r="AI6" s="68">
        <v>20000</v>
      </c>
      <c r="AJ6" s="68">
        <v>8000</v>
      </c>
      <c r="AK6" s="68">
        <v>2480</v>
      </c>
      <c r="AL6" s="68">
        <v>4600</v>
      </c>
      <c r="AM6" s="68">
        <v>2500</v>
      </c>
      <c r="AN6" s="68">
        <v>1500</v>
      </c>
      <c r="AO6" s="19"/>
      <c r="AP6" s="20" t="s">
        <v>123</v>
      </c>
      <c r="AQ6" s="10">
        <v>52100</v>
      </c>
      <c r="AR6" s="11"/>
      <c r="AS6" s="28"/>
      <c r="AT6" s="70"/>
      <c r="AV6" s="9">
        <v>53300</v>
      </c>
      <c r="AW6" s="9">
        <v>6000</v>
      </c>
      <c r="AX6" s="9">
        <v>4000</v>
      </c>
      <c r="AY6" s="9">
        <v>5000</v>
      </c>
      <c r="AZ6" s="9">
        <v>23000</v>
      </c>
      <c r="BA6" s="9">
        <v>4000</v>
      </c>
      <c r="BB6" s="9">
        <v>29500</v>
      </c>
      <c r="BC6" s="9">
        <v>3200</v>
      </c>
      <c r="BD6" s="9">
        <v>8000</v>
      </c>
      <c r="BE6" s="11"/>
      <c r="BF6" s="68">
        <v>9500</v>
      </c>
      <c r="BG6" s="68">
        <v>33000</v>
      </c>
      <c r="BH6" s="68">
        <v>3840</v>
      </c>
      <c r="BI6" s="10"/>
      <c r="BJ6" s="10">
        <v>66000</v>
      </c>
      <c r="BK6" s="10">
        <v>16000</v>
      </c>
      <c r="BL6" s="10">
        <v>12000</v>
      </c>
      <c r="BM6" s="9">
        <v>83500</v>
      </c>
      <c r="BN6" s="19"/>
      <c r="BO6" s="20" t="s">
        <v>140</v>
      </c>
      <c r="BP6" s="10">
        <v>722700</v>
      </c>
      <c r="BQ6" s="11"/>
      <c r="BR6" s="28"/>
      <c r="BS6" s="70"/>
      <c r="BU6" s="9">
        <v>2500</v>
      </c>
      <c r="BV6" s="9">
        <v>10000</v>
      </c>
      <c r="BW6" s="9">
        <v>6000</v>
      </c>
      <c r="BX6" s="9">
        <v>1500</v>
      </c>
      <c r="BY6" s="9">
        <v>29000</v>
      </c>
      <c r="BZ6" s="9">
        <v>4500</v>
      </c>
      <c r="CA6" s="9">
        <v>3000</v>
      </c>
      <c r="CB6" s="9">
        <v>12000</v>
      </c>
      <c r="CC6" s="9">
        <v>500</v>
      </c>
      <c r="CD6" s="11"/>
      <c r="CE6" s="68">
        <v>11000</v>
      </c>
      <c r="CF6" s="68">
        <v>7000</v>
      </c>
      <c r="CG6" s="68">
        <v>10560</v>
      </c>
      <c r="CH6" s="68">
        <v>29000</v>
      </c>
      <c r="CI6" s="68">
        <v>5300</v>
      </c>
      <c r="CJ6" s="68">
        <v>8000</v>
      </c>
      <c r="CK6" s="19"/>
      <c r="CL6" s="20" t="s">
        <v>146</v>
      </c>
      <c r="CM6" s="10">
        <v>179300</v>
      </c>
      <c r="CN6" s="11"/>
      <c r="CO6" s="28"/>
      <c r="CP6" s="70"/>
      <c r="CR6" s="9">
        <v>1500</v>
      </c>
      <c r="CS6" s="9">
        <v>11500</v>
      </c>
      <c r="CT6" s="9">
        <v>2500</v>
      </c>
      <c r="CU6" s="9"/>
      <c r="CV6" s="9"/>
      <c r="CW6" s="9"/>
      <c r="CX6" s="9"/>
      <c r="CY6" s="9"/>
      <c r="CZ6" s="11"/>
      <c r="DA6" s="68">
        <v>39630</v>
      </c>
      <c r="DB6" s="68">
        <v>75610</v>
      </c>
      <c r="DC6" s="10"/>
      <c r="DD6" s="10"/>
      <c r="DE6" s="10"/>
      <c r="DF6" s="68">
        <v>3500</v>
      </c>
      <c r="DG6" s="19"/>
      <c r="DH6" s="20" t="s">
        <v>125</v>
      </c>
      <c r="DI6" s="10">
        <v>156600</v>
      </c>
      <c r="DJ6" s="11"/>
      <c r="DK6" s="28"/>
      <c r="DL6" s="70"/>
      <c r="DN6" s="40"/>
      <c r="DO6" s="52"/>
      <c r="DP6" s="53"/>
      <c r="DQ6" s="54"/>
    </row>
    <row r="7" ht="15" customHeight="1" spans="1:121">
      <c r="A7" s="9">
        <v>3000</v>
      </c>
      <c r="B7" s="9">
        <v>2000</v>
      </c>
      <c r="C7" s="9">
        <v>400</v>
      </c>
      <c r="D7" s="9">
        <v>12000</v>
      </c>
      <c r="E7" s="9">
        <v>42000</v>
      </c>
      <c r="F7" s="9">
        <v>4800</v>
      </c>
      <c r="G7" s="9">
        <v>15000</v>
      </c>
      <c r="H7" s="9">
        <v>15000</v>
      </c>
      <c r="I7" s="9">
        <v>3000</v>
      </c>
      <c r="J7" s="11"/>
      <c r="K7" s="68">
        <v>14780</v>
      </c>
      <c r="L7" s="68">
        <v>34190</v>
      </c>
      <c r="M7" s="68">
        <v>12000</v>
      </c>
      <c r="N7" s="10">
        <v>4000</v>
      </c>
      <c r="O7" s="10">
        <v>1850</v>
      </c>
      <c r="P7" s="10">
        <v>3000</v>
      </c>
      <c r="Q7" s="10">
        <v>5000</v>
      </c>
      <c r="R7" s="19"/>
      <c r="S7" s="20" t="s">
        <v>49</v>
      </c>
      <c r="T7" s="10">
        <v>558500</v>
      </c>
      <c r="U7" s="11"/>
      <c r="V7" s="27" t="s">
        <v>1</v>
      </c>
      <c r="W7" s="69">
        <f>SUM(T2:T35)</f>
        <v>5354873</v>
      </c>
      <c r="X7" s="24"/>
      <c r="Y7" s="9">
        <v>4500</v>
      </c>
      <c r="Z7" s="9">
        <v>5000</v>
      </c>
      <c r="AA7" s="9">
        <v>12000</v>
      </c>
      <c r="AB7" s="9">
        <v>4500</v>
      </c>
      <c r="AC7" s="9">
        <v>16000</v>
      </c>
      <c r="AD7" s="9">
        <v>2500</v>
      </c>
      <c r="AE7" s="9">
        <v>2500</v>
      </c>
      <c r="AF7" s="9">
        <v>6000</v>
      </c>
      <c r="AG7" s="9">
        <v>44500</v>
      </c>
      <c r="AH7" s="11"/>
      <c r="AI7" s="68">
        <v>2800</v>
      </c>
      <c r="AJ7" s="68">
        <v>7000</v>
      </c>
      <c r="AK7" s="68">
        <v>6500</v>
      </c>
      <c r="AL7" s="68">
        <v>6000</v>
      </c>
      <c r="AM7" s="68">
        <v>10000</v>
      </c>
      <c r="AN7" s="68">
        <v>3000</v>
      </c>
      <c r="AO7" s="19"/>
      <c r="AP7" s="20" t="s">
        <v>100</v>
      </c>
      <c r="AQ7" s="10">
        <v>250670</v>
      </c>
      <c r="AR7" s="11"/>
      <c r="AS7" s="27" t="s">
        <v>1</v>
      </c>
      <c r="AT7" s="69">
        <f>SUM(AQ2:AQ35)</f>
        <v>7039452</v>
      </c>
      <c r="AV7" s="9">
        <v>3000</v>
      </c>
      <c r="AW7" s="9">
        <v>8400</v>
      </c>
      <c r="AX7" s="9">
        <v>3000</v>
      </c>
      <c r="AY7" s="9">
        <v>1000</v>
      </c>
      <c r="AZ7" s="9">
        <v>7000</v>
      </c>
      <c r="BA7" s="9">
        <v>1200</v>
      </c>
      <c r="BB7" s="9">
        <v>21500</v>
      </c>
      <c r="BC7" s="9">
        <v>9000</v>
      </c>
      <c r="BD7" s="9">
        <v>18500</v>
      </c>
      <c r="BE7" s="11"/>
      <c r="BF7" s="68">
        <v>10000</v>
      </c>
      <c r="BG7" s="68">
        <v>2400</v>
      </c>
      <c r="BH7" s="68">
        <v>15370</v>
      </c>
      <c r="BI7" s="10"/>
      <c r="BJ7" s="10">
        <v>8000</v>
      </c>
      <c r="BK7" s="10">
        <v>1200</v>
      </c>
      <c r="BL7" s="10">
        <v>13000</v>
      </c>
      <c r="BM7" s="9">
        <v>5500</v>
      </c>
      <c r="BN7" s="19"/>
      <c r="BO7" s="20" t="s">
        <v>44</v>
      </c>
      <c r="BP7" s="10">
        <v>36000</v>
      </c>
      <c r="BQ7" s="11"/>
      <c r="BR7" s="27" t="s">
        <v>1</v>
      </c>
      <c r="BS7" s="69">
        <f>SUM(BP2:BP35)</f>
        <v>2707700</v>
      </c>
      <c r="BU7" s="9">
        <v>9000</v>
      </c>
      <c r="BV7" s="9">
        <v>1500</v>
      </c>
      <c r="BW7" s="9">
        <v>5500</v>
      </c>
      <c r="BX7" s="9">
        <v>118200</v>
      </c>
      <c r="BY7" s="9">
        <v>12000</v>
      </c>
      <c r="BZ7" s="9">
        <v>5100</v>
      </c>
      <c r="CA7" s="9">
        <v>5000</v>
      </c>
      <c r="CB7" s="9">
        <v>8500</v>
      </c>
      <c r="CC7" s="9">
        <v>5500</v>
      </c>
      <c r="CD7" s="11"/>
      <c r="CE7" s="68">
        <v>4500</v>
      </c>
      <c r="CF7" s="68">
        <v>6000</v>
      </c>
      <c r="CG7" s="68">
        <v>23000</v>
      </c>
      <c r="CH7" s="68">
        <v>12000</v>
      </c>
      <c r="CI7" s="68">
        <v>34500</v>
      </c>
      <c r="CJ7" s="68">
        <v>15800</v>
      </c>
      <c r="CK7" s="19"/>
      <c r="CL7" s="20" t="s">
        <v>155</v>
      </c>
      <c r="CM7" s="10">
        <v>277000</v>
      </c>
      <c r="CN7" s="11"/>
      <c r="CO7" s="27" t="s">
        <v>1</v>
      </c>
      <c r="CP7" s="69">
        <f>SUM(CM2:CM35)</f>
        <v>6261556</v>
      </c>
      <c r="CR7" s="9">
        <v>26000</v>
      </c>
      <c r="CS7" s="9">
        <v>1500</v>
      </c>
      <c r="CT7" s="9">
        <v>500</v>
      </c>
      <c r="CU7" s="9"/>
      <c r="CV7" s="9"/>
      <c r="CW7" s="9"/>
      <c r="CX7" s="9"/>
      <c r="CY7" s="9"/>
      <c r="CZ7" s="11"/>
      <c r="DA7" s="68">
        <v>35540</v>
      </c>
      <c r="DB7" s="10"/>
      <c r="DC7" s="10"/>
      <c r="DD7" s="10"/>
      <c r="DE7" s="10"/>
      <c r="DF7" s="68">
        <v>10000</v>
      </c>
      <c r="DG7" s="19"/>
      <c r="DH7" s="20" t="s">
        <v>22</v>
      </c>
      <c r="DI7" s="10">
        <v>1087400</v>
      </c>
      <c r="DJ7" s="11"/>
      <c r="DK7" s="27" t="s">
        <v>1</v>
      </c>
      <c r="DL7" s="69">
        <f>SUM(DI2:DI35)</f>
        <v>3226997</v>
      </c>
      <c r="DN7" s="39" t="s">
        <v>1</v>
      </c>
      <c r="DO7" s="49"/>
      <c r="DP7" s="50">
        <f>SUM(W7,AT7,BS7,CP7,DL7)</f>
        <v>24590578</v>
      </c>
      <c r="DQ7" s="51"/>
    </row>
    <row r="8" ht="15" customHeight="1" spans="1:121">
      <c r="A8" s="9">
        <v>66000</v>
      </c>
      <c r="B8" s="9">
        <v>13500</v>
      </c>
      <c r="C8" s="9">
        <v>2000</v>
      </c>
      <c r="D8" s="9">
        <v>6000</v>
      </c>
      <c r="E8" s="9">
        <v>7500</v>
      </c>
      <c r="F8" s="9">
        <v>1000</v>
      </c>
      <c r="G8" s="9">
        <v>4000</v>
      </c>
      <c r="H8" s="9">
        <v>9000</v>
      </c>
      <c r="I8" s="9">
        <v>10600</v>
      </c>
      <c r="J8" s="11"/>
      <c r="K8" s="68">
        <v>1500</v>
      </c>
      <c r="L8" s="68">
        <v>46110</v>
      </c>
      <c r="M8" s="68">
        <v>2500</v>
      </c>
      <c r="N8" s="10">
        <v>12600</v>
      </c>
      <c r="O8" s="10">
        <v>35200</v>
      </c>
      <c r="P8" s="10">
        <v>3000</v>
      </c>
      <c r="Q8" s="10">
        <v>17000</v>
      </c>
      <c r="R8" s="19"/>
      <c r="S8" s="20" t="s">
        <v>49</v>
      </c>
      <c r="T8" s="10">
        <v>41200</v>
      </c>
      <c r="U8" s="11"/>
      <c r="V8" s="28"/>
      <c r="W8" s="70"/>
      <c r="X8" s="24"/>
      <c r="Y8" s="9">
        <v>17000</v>
      </c>
      <c r="Z8" s="9">
        <v>2200</v>
      </c>
      <c r="AA8" s="9">
        <v>3000</v>
      </c>
      <c r="AB8" s="9">
        <v>8000</v>
      </c>
      <c r="AC8" s="9">
        <v>4500</v>
      </c>
      <c r="AD8" s="9">
        <v>3000</v>
      </c>
      <c r="AE8" s="9">
        <v>3500</v>
      </c>
      <c r="AF8" s="9">
        <v>8000</v>
      </c>
      <c r="AG8" s="9">
        <v>1500</v>
      </c>
      <c r="AH8" s="11"/>
      <c r="AI8" s="68">
        <v>22500</v>
      </c>
      <c r="AJ8" s="68">
        <v>39000</v>
      </c>
      <c r="AK8" s="68">
        <v>1200</v>
      </c>
      <c r="AL8" s="68">
        <v>10000</v>
      </c>
      <c r="AM8" s="68">
        <v>3800</v>
      </c>
      <c r="AN8" s="68">
        <v>9500</v>
      </c>
      <c r="AO8" s="19"/>
      <c r="AP8" s="20" t="s">
        <v>44</v>
      </c>
      <c r="AQ8" s="10">
        <v>100000</v>
      </c>
      <c r="AR8" s="11"/>
      <c r="AS8" s="28"/>
      <c r="AT8" s="70"/>
      <c r="AV8" s="9">
        <v>1000</v>
      </c>
      <c r="AW8" s="9">
        <v>2000</v>
      </c>
      <c r="AX8" s="9">
        <v>500</v>
      </c>
      <c r="AY8" s="9">
        <v>4500</v>
      </c>
      <c r="AZ8" s="9">
        <v>1500</v>
      </c>
      <c r="BA8" s="9">
        <v>1000</v>
      </c>
      <c r="BB8" s="9">
        <v>5500</v>
      </c>
      <c r="BC8" s="9">
        <v>20000</v>
      </c>
      <c r="BD8" s="9">
        <v>5000</v>
      </c>
      <c r="BE8" s="11"/>
      <c r="BF8" s="68">
        <v>11050</v>
      </c>
      <c r="BG8" s="68">
        <v>2400</v>
      </c>
      <c r="BH8" s="68">
        <v>4320</v>
      </c>
      <c r="BI8" s="10"/>
      <c r="BJ8" s="10">
        <v>7500</v>
      </c>
      <c r="BK8" s="10">
        <v>2500</v>
      </c>
      <c r="BL8" s="10">
        <v>4000</v>
      </c>
      <c r="BM8" s="9">
        <v>8000</v>
      </c>
      <c r="BN8" s="19"/>
      <c r="BO8" s="20" t="s">
        <v>34</v>
      </c>
      <c r="BP8" s="10">
        <v>16250</v>
      </c>
      <c r="BQ8" s="11"/>
      <c r="BR8" s="28"/>
      <c r="BS8" s="70"/>
      <c r="BU8" s="9">
        <v>3000</v>
      </c>
      <c r="BV8" s="9">
        <v>9800</v>
      </c>
      <c r="BW8" s="9">
        <v>800</v>
      </c>
      <c r="BX8" s="9">
        <v>8000</v>
      </c>
      <c r="BY8" s="9">
        <v>2000</v>
      </c>
      <c r="BZ8" s="9">
        <v>4500</v>
      </c>
      <c r="CA8" s="9">
        <v>20000</v>
      </c>
      <c r="CB8" s="9">
        <v>5500</v>
      </c>
      <c r="CC8" s="9">
        <v>13000</v>
      </c>
      <c r="CD8" s="11"/>
      <c r="CE8" s="68">
        <v>2400</v>
      </c>
      <c r="CF8" s="68">
        <v>600</v>
      </c>
      <c r="CG8" s="68">
        <v>4570</v>
      </c>
      <c r="CH8" s="68">
        <v>8500</v>
      </c>
      <c r="CI8" s="68">
        <v>3000</v>
      </c>
      <c r="CJ8" s="68">
        <v>66800</v>
      </c>
      <c r="CK8" s="19"/>
      <c r="CL8" s="20" t="s">
        <v>115</v>
      </c>
      <c r="CM8" s="10">
        <v>750000</v>
      </c>
      <c r="CN8" s="11"/>
      <c r="CO8" s="28"/>
      <c r="CP8" s="70"/>
      <c r="CR8" s="9">
        <v>5000</v>
      </c>
      <c r="CS8" s="9">
        <v>13000</v>
      </c>
      <c r="CT8" s="9">
        <v>5500</v>
      </c>
      <c r="CU8" s="9"/>
      <c r="CV8" s="9"/>
      <c r="CW8" s="9"/>
      <c r="CX8" s="9"/>
      <c r="CY8" s="9"/>
      <c r="CZ8" s="11"/>
      <c r="DA8" s="68">
        <v>8000</v>
      </c>
      <c r="DB8" s="10"/>
      <c r="DC8" s="10"/>
      <c r="DD8" s="10"/>
      <c r="DE8" s="10"/>
      <c r="DF8" s="68">
        <v>9000</v>
      </c>
      <c r="DG8" s="19"/>
      <c r="DH8" s="20" t="s">
        <v>182</v>
      </c>
      <c r="DI8" s="10">
        <v>1375167</v>
      </c>
      <c r="DJ8" s="11"/>
      <c r="DK8" s="28"/>
      <c r="DL8" s="70"/>
      <c r="DN8" s="40"/>
      <c r="DO8" s="52"/>
      <c r="DP8" s="53"/>
      <c r="DQ8" s="54"/>
    </row>
    <row r="9" ht="15" customHeight="1" spans="1:121">
      <c r="A9" s="9">
        <v>3500</v>
      </c>
      <c r="B9" s="9">
        <v>19500</v>
      </c>
      <c r="C9" s="9">
        <v>80000</v>
      </c>
      <c r="D9" s="9">
        <v>1000</v>
      </c>
      <c r="E9" s="9">
        <v>27000</v>
      </c>
      <c r="F9" s="9">
        <v>7000</v>
      </c>
      <c r="G9" s="9">
        <v>4800</v>
      </c>
      <c r="H9" s="9">
        <v>2000</v>
      </c>
      <c r="I9" s="9">
        <v>7500</v>
      </c>
      <c r="J9" s="11"/>
      <c r="K9" s="68">
        <v>13500</v>
      </c>
      <c r="L9" s="68">
        <v>11690</v>
      </c>
      <c r="M9" s="68">
        <v>8400</v>
      </c>
      <c r="N9" s="10">
        <v>1000</v>
      </c>
      <c r="O9" s="10">
        <v>60100</v>
      </c>
      <c r="P9" s="10">
        <v>2500</v>
      </c>
      <c r="Q9" s="10">
        <v>6000</v>
      </c>
      <c r="R9" s="19"/>
      <c r="S9" s="20" t="s">
        <v>6</v>
      </c>
      <c r="T9" s="10">
        <v>400000</v>
      </c>
      <c r="U9" s="11"/>
      <c r="V9" s="29" t="s">
        <v>33</v>
      </c>
      <c r="W9" s="71">
        <f>W3+W5</f>
        <v>5247710</v>
      </c>
      <c r="X9" s="24"/>
      <c r="Y9" s="9">
        <v>1500</v>
      </c>
      <c r="Z9" s="9">
        <v>14000</v>
      </c>
      <c r="AA9" s="9">
        <v>1300</v>
      </c>
      <c r="AB9" s="9">
        <v>1500</v>
      </c>
      <c r="AC9" s="9">
        <v>6000</v>
      </c>
      <c r="AD9" s="9">
        <v>5500</v>
      </c>
      <c r="AE9" s="9">
        <v>3000</v>
      </c>
      <c r="AF9" s="9">
        <v>4100</v>
      </c>
      <c r="AG9" s="9">
        <v>2000</v>
      </c>
      <c r="AH9" s="11"/>
      <c r="AI9" s="68">
        <v>3000</v>
      </c>
      <c r="AJ9" s="68">
        <v>9000</v>
      </c>
      <c r="AK9" s="68">
        <v>1440</v>
      </c>
      <c r="AL9" s="68">
        <v>5000</v>
      </c>
      <c r="AM9" s="68">
        <v>15000</v>
      </c>
      <c r="AN9" s="68">
        <v>12000</v>
      </c>
      <c r="AO9" s="19"/>
      <c r="AP9" s="20" t="s">
        <v>34</v>
      </c>
      <c r="AQ9" s="10">
        <v>36000</v>
      </c>
      <c r="AR9" s="11"/>
      <c r="AS9" s="29" t="s">
        <v>33</v>
      </c>
      <c r="AT9" s="71">
        <f>AT3+AT5</f>
        <v>5085820</v>
      </c>
      <c r="AV9" s="9">
        <v>2400</v>
      </c>
      <c r="AW9" s="9">
        <v>10000</v>
      </c>
      <c r="AX9" s="9">
        <v>8000</v>
      </c>
      <c r="AY9" s="9">
        <v>3000</v>
      </c>
      <c r="AZ9" s="9">
        <v>18900</v>
      </c>
      <c r="BA9" s="9">
        <v>16500</v>
      </c>
      <c r="BB9" s="9">
        <v>4500</v>
      </c>
      <c r="BC9" s="9">
        <v>13900</v>
      </c>
      <c r="BD9" s="9">
        <v>3500</v>
      </c>
      <c r="BE9" s="11"/>
      <c r="BF9" s="68">
        <v>41660</v>
      </c>
      <c r="BG9" s="68">
        <v>128660</v>
      </c>
      <c r="BH9" s="68">
        <v>1850</v>
      </c>
      <c r="BI9" s="10"/>
      <c r="BJ9" s="10">
        <v>30000</v>
      </c>
      <c r="BK9" s="10">
        <v>3000</v>
      </c>
      <c r="BL9" s="10">
        <v>17400</v>
      </c>
      <c r="BM9" s="9">
        <v>6600</v>
      </c>
      <c r="BN9" s="19"/>
      <c r="BO9" s="20" t="s">
        <v>101</v>
      </c>
      <c r="BP9" s="10">
        <v>112200</v>
      </c>
      <c r="BQ9" s="11"/>
      <c r="BR9" s="29" t="s">
        <v>33</v>
      </c>
      <c r="BS9" s="71">
        <f>BS3+BS5</f>
        <v>5997920</v>
      </c>
      <c r="BU9" s="9">
        <v>7000</v>
      </c>
      <c r="BV9" s="9">
        <v>2300</v>
      </c>
      <c r="BW9" s="9">
        <v>2000</v>
      </c>
      <c r="BX9" s="9">
        <v>3000</v>
      </c>
      <c r="BY9" s="9">
        <v>12500</v>
      </c>
      <c r="BZ9" s="9">
        <v>2000</v>
      </c>
      <c r="CA9" s="9">
        <v>8000</v>
      </c>
      <c r="CB9" s="9">
        <v>1000</v>
      </c>
      <c r="CC9" s="9">
        <v>30000</v>
      </c>
      <c r="CD9" s="11"/>
      <c r="CE9" s="68">
        <v>2400</v>
      </c>
      <c r="CF9" s="68">
        <v>9000</v>
      </c>
      <c r="CG9" s="68">
        <v>17770</v>
      </c>
      <c r="CH9" s="68">
        <v>6500</v>
      </c>
      <c r="CI9" s="68">
        <v>55000</v>
      </c>
      <c r="CJ9" s="68">
        <v>4600</v>
      </c>
      <c r="CK9" s="19"/>
      <c r="CL9" s="20" t="s">
        <v>62</v>
      </c>
      <c r="CM9" s="10">
        <v>28000</v>
      </c>
      <c r="CN9" s="11"/>
      <c r="CO9" s="29" t="s">
        <v>33</v>
      </c>
      <c r="CP9" s="71">
        <f>CP3+CP5</f>
        <v>6161380</v>
      </c>
      <c r="CR9" s="9">
        <v>9500</v>
      </c>
      <c r="CS9" s="9">
        <v>4500</v>
      </c>
      <c r="CT9" s="9">
        <v>2000</v>
      </c>
      <c r="CU9" s="9"/>
      <c r="CV9" s="9"/>
      <c r="CW9" s="9"/>
      <c r="CX9" s="9"/>
      <c r="CY9" s="9"/>
      <c r="CZ9" s="11"/>
      <c r="DA9" s="68">
        <v>31500</v>
      </c>
      <c r="DB9" s="10"/>
      <c r="DC9" s="10"/>
      <c r="DD9" s="10"/>
      <c r="DE9" s="10"/>
      <c r="DF9" s="68">
        <v>3000</v>
      </c>
      <c r="DG9" s="19"/>
      <c r="DH9" s="20"/>
      <c r="DI9" s="10"/>
      <c r="DJ9" s="11"/>
      <c r="DK9" s="29" t="s">
        <v>33</v>
      </c>
      <c r="DL9" s="71">
        <f>DL3+DL5</f>
        <v>2018390</v>
      </c>
      <c r="DN9" s="41" t="s">
        <v>33</v>
      </c>
      <c r="DO9" s="55"/>
      <c r="DP9" s="56">
        <f>DP3+DP5</f>
        <v>24511220</v>
      </c>
      <c r="DQ9" s="57"/>
    </row>
    <row r="10" ht="15" customHeight="1" spans="1:121">
      <c r="A10" s="9">
        <v>2000</v>
      </c>
      <c r="B10" s="9">
        <v>21000</v>
      </c>
      <c r="C10" s="9">
        <v>4000</v>
      </c>
      <c r="D10" s="9">
        <v>17800</v>
      </c>
      <c r="E10" s="9">
        <v>4900</v>
      </c>
      <c r="F10" s="9">
        <v>7000</v>
      </c>
      <c r="G10" s="9">
        <v>4500</v>
      </c>
      <c r="H10" s="9">
        <v>24000</v>
      </c>
      <c r="I10" s="9">
        <v>2000</v>
      </c>
      <c r="J10" s="11"/>
      <c r="K10" s="68">
        <v>16000</v>
      </c>
      <c r="L10" s="68">
        <v>19310</v>
      </c>
      <c r="M10" s="68">
        <v>40500</v>
      </c>
      <c r="N10" s="10">
        <v>8500</v>
      </c>
      <c r="O10" s="10">
        <v>8500</v>
      </c>
      <c r="P10" s="10">
        <v>4000</v>
      </c>
      <c r="Q10" s="10">
        <v>17500</v>
      </c>
      <c r="R10" s="19"/>
      <c r="S10" s="20" t="s">
        <v>76</v>
      </c>
      <c r="T10" s="10">
        <v>26500</v>
      </c>
      <c r="U10" s="11"/>
      <c r="V10" s="29" t="s">
        <v>36</v>
      </c>
      <c r="W10" s="71">
        <f>W1+W3+W5-W7+W15+W16</f>
        <v>897597</v>
      </c>
      <c r="X10" s="24"/>
      <c r="Y10" s="9">
        <v>2500</v>
      </c>
      <c r="Z10" s="9">
        <v>5000</v>
      </c>
      <c r="AA10" s="9">
        <v>4500</v>
      </c>
      <c r="AB10" s="9">
        <v>7500</v>
      </c>
      <c r="AC10" s="9">
        <v>6500</v>
      </c>
      <c r="AD10" s="9">
        <v>2400</v>
      </c>
      <c r="AE10" s="9">
        <v>1000</v>
      </c>
      <c r="AF10" s="9">
        <v>8500</v>
      </c>
      <c r="AG10" s="9">
        <v>4000</v>
      </c>
      <c r="AH10" s="11"/>
      <c r="AI10" s="68">
        <v>66600</v>
      </c>
      <c r="AJ10" s="68">
        <v>14000</v>
      </c>
      <c r="AK10" s="68">
        <v>4150</v>
      </c>
      <c r="AL10" s="68">
        <v>7500</v>
      </c>
      <c r="AM10" s="68">
        <v>14000</v>
      </c>
      <c r="AN10" s="68">
        <v>14000</v>
      </c>
      <c r="AO10" s="19"/>
      <c r="AP10" s="20" t="s">
        <v>41</v>
      </c>
      <c r="AQ10" s="10">
        <v>448500</v>
      </c>
      <c r="AR10" s="11"/>
      <c r="AS10" s="29" t="s">
        <v>36</v>
      </c>
      <c r="AT10" s="71">
        <f>AT1+AT3+AT5-AT7+AT15+AT16</f>
        <v>-1701152</v>
      </c>
      <c r="AV10" s="9">
        <v>3600</v>
      </c>
      <c r="AW10" s="9">
        <v>150000</v>
      </c>
      <c r="AX10" s="9">
        <v>33000</v>
      </c>
      <c r="AY10" s="9">
        <v>6000</v>
      </c>
      <c r="AZ10" s="9">
        <v>1000</v>
      </c>
      <c r="BA10" s="9">
        <v>14000</v>
      </c>
      <c r="BB10" s="9">
        <v>1300</v>
      </c>
      <c r="BC10" s="9">
        <v>14000</v>
      </c>
      <c r="BD10" s="9">
        <v>2500</v>
      </c>
      <c r="BE10" s="11"/>
      <c r="BF10" s="68">
        <v>11990</v>
      </c>
      <c r="BG10" s="68">
        <v>2880</v>
      </c>
      <c r="BH10" s="68">
        <v>21710</v>
      </c>
      <c r="BI10" s="10"/>
      <c r="BJ10" s="10">
        <v>3500</v>
      </c>
      <c r="BK10" s="10">
        <v>5500</v>
      </c>
      <c r="BL10" s="10">
        <v>5000</v>
      </c>
      <c r="BM10" s="9"/>
      <c r="BN10" s="19"/>
      <c r="BO10" s="20" t="s">
        <v>37</v>
      </c>
      <c r="BP10" s="10">
        <v>42990</v>
      </c>
      <c r="BQ10" s="11"/>
      <c r="BR10" s="29" t="s">
        <v>36</v>
      </c>
      <c r="BS10" s="71">
        <f>BS1+BS3+BS5-BS7+BS15+BS16</f>
        <v>3290220</v>
      </c>
      <c r="BU10" s="9">
        <v>2000</v>
      </c>
      <c r="BV10" s="9">
        <v>12000</v>
      </c>
      <c r="BW10" s="9">
        <v>93000</v>
      </c>
      <c r="BX10" s="9">
        <v>7000</v>
      </c>
      <c r="BY10" s="9">
        <v>2000</v>
      </c>
      <c r="BZ10" s="9">
        <v>12500</v>
      </c>
      <c r="CA10" s="9">
        <v>14000</v>
      </c>
      <c r="CB10" s="9">
        <v>3800</v>
      </c>
      <c r="CC10" s="9">
        <v>6000</v>
      </c>
      <c r="CD10" s="11"/>
      <c r="CE10" s="68">
        <v>4320</v>
      </c>
      <c r="CF10" s="68">
        <v>5000</v>
      </c>
      <c r="CG10" s="68">
        <v>8650</v>
      </c>
      <c r="CH10" s="68">
        <v>7000</v>
      </c>
      <c r="CI10" s="68">
        <v>4000</v>
      </c>
      <c r="CJ10" s="68">
        <v>1000</v>
      </c>
      <c r="CK10" s="19"/>
      <c r="CL10" s="20" t="s">
        <v>183</v>
      </c>
      <c r="CM10" s="10">
        <v>25000</v>
      </c>
      <c r="CN10" s="11"/>
      <c r="CO10" s="29" t="s">
        <v>36</v>
      </c>
      <c r="CP10" s="71">
        <f>CP1+CP3+CP5-CP7+CP15+CP16</f>
        <v>174404</v>
      </c>
      <c r="CR10" s="9">
        <v>7000</v>
      </c>
      <c r="CS10" s="9">
        <v>70000</v>
      </c>
      <c r="CT10" s="9">
        <v>18000</v>
      </c>
      <c r="CU10" s="9"/>
      <c r="CV10" s="9"/>
      <c r="CW10" s="9"/>
      <c r="CX10" s="9"/>
      <c r="CY10" s="9"/>
      <c r="CZ10" s="11"/>
      <c r="DA10" s="68">
        <v>1100</v>
      </c>
      <c r="DB10" s="10"/>
      <c r="DC10" s="10"/>
      <c r="DD10" s="10"/>
      <c r="DE10" s="10"/>
      <c r="DF10" s="68">
        <v>30000</v>
      </c>
      <c r="DG10" s="19"/>
      <c r="DH10" s="20"/>
      <c r="DI10" s="10"/>
      <c r="DJ10" s="11"/>
      <c r="DK10" s="29" t="s">
        <v>36</v>
      </c>
      <c r="DL10" s="71">
        <f>DL1+DL3+DL5-DL7+DL15+DL16</f>
        <v>-666867</v>
      </c>
      <c r="DN10" s="42"/>
      <c r="DO10" s="58"/>
      <c r="DP10" s="59"/>
      <c r="DQ10" s="60"/>
    </row>
    <row r="11" ht="15" customHeight="1" spans="1:121">
      <c r="A11" s="9">
        <v>25000</v>
      </c>
      <c r="B11" s="9">
        <v>5500</v>
      </c>
      <c r="C11" s="9">
        <v>4000</v>
      </c>
      <c r="D11" s="9">
        <v>5800</v>
      </c>
      <c r="E11" s="9">
        <v>4000</v>
      </c>
      <c r="F11" s="9">
        <v>2000</v>
      </c>
      <c r="G11" s="9">
        <v>28000</v>
      </c>
      <c r="H11" s="9">
        <v>6000</v>
      </c>
      <c r="I11" s="9">
        <v>22000</v>
      </c>
      <c r="J11" s="11"/>
      <c r="K11" s="68">
        <v>6340</v>
      </c>
      <c r="L11" s="68">
        <v>9000</v>
      </c>
      <c r="M11" s="68">
        <v>5500</v>
      </c>
      <c r="N11" s="10">
        <v>6000</v>
      </c>
      <c r="O11" s="10">
        <v>13000</v>
      </c>
      <c r="P11" s="10">
        <v>8000</v>
      </c>
      <c r="Q11" s="10">
        <v>18800</v>
      </c>
      <c r="R11" s="19"/>
      <c r="S11" s="20" t="s">
        <v>136</v>
      </c>
      <c r="T11" s="10">
        <v>1276490</v>
      </c>
      <c r="U11" s="11"/>
      <c r="V11" s="29" t="s">
        <v>40</v>
      </c>
      <c r="W11" s="71">
        <f>W9/7</f>
        <v>749672.857142857</v>
      </c>
      <c r="X11" s="24"/>
      <c r="Y11" s="9">
        <v>800</v>
      </c>
      <c r="Z11" s="9">
        <v>12500</v>
      </c>
      <c r="AA11" s="9">
        <v>21500</v>
      </c>
      <c r="AB11" s="9">
        <v>4500</v>
      </c>
      <c r="AC11" s="9">
        <v>4500</v>
      </c>
      <c r="AD11" s="9">
        <v>1000</v>
      </c>
      <c r="AE11" s="9">
        <v>6000</v>
      </c>
      <c r="AF11" s="9">
        <v>1300</v>
      </c>
      <c r="AG11" s="9">
        <v>1000</v>
      </c>
      <c r="AH11" s="11"/>
      <c r="AI11" s="68">
        <v>5960</v>
      </c>
      <c r="AJ11" s="68">
        <v>30740</v>
      </c>
      <c r="AK11" s="68">
        <v>7690</v>
      </c>
      <c r="AL11" s="68">
        <v>67000</v>
      </c>
      <c r="AM11" s="68">
        <v>5000</v>
      </c>
      <c r="AN11" s="68">
        <v>2500</v>
      </c>
      <c r="AO11" s="19"/>
      <c r="AP11" s="20" t="s">
        <v>52</v>
      </c>
      <c r="AQ11" s="10">
        <v>300000</v>
      </c>
      <c r="AR11" s="11"/>
      <c r="AS11" s="29" t="s">
        <v>40</v>
      </c>
      <c r="AT11" s="71">
        <f>AT9/7</f>
        <v>726545.714285714</v>
      </c>
      <c r="AV11" s="9">
        <v>3000</v>
      </c>
      <c r="AW11" s="9">
        <v>4800</v>
      </c>
      <c r="AX11" s="9">
        <v>300</v>
      </c>
      <c r="AY11" s="9">
        <v>10000</v>
      </c>
      <c r="AZ11" s="9">
        <v>3500</v>
      </c>
      <c r="BA11" s="9">
        <v>5500</v>
      </c>
      <c r="BB11" s="9">
        <v>2500</v>
      </c>
      <c r="BC11" s="9">
        <v>1500</v>
      </c>
      <c r="BD11" s="9">
        <v>4500</v>
      </c>
      <c r="BE11" s="11"/>
      <c r="BF11" s="68">
        <v>14200</v>
      </c>
      <c r="BG11" s="68">
        <v>3510</v>
      </c>
      <c r="BH11" s="68">
        <v>8640</v>
      </c>
      <c r="BI11" s="10"/>
      <c r="BJ11" s="10">
        <v>15000</v>
      </c>
      <c r="BK11" s="10">
        <v>11500</v>
      </c>
      <c r="BL11" s="10">
        <v>6000</v>
      </c>
      <c r="BM11" s="9"/>
      <c r="BN11" s="19"/>
      <c r="BO11" s="20" t="s">
        <v>7</v>
      </c>
      <c r="BP11" s="10">
        <v>99700</v>
      </c>
      <c r="BQ11" s="11"/>
      <c r="BR11" s="29" t="s">
        <v>40</v>
      </c>
      <c r="BS11" s="71">
        <f>BS9/7</f>
        <v>856845.714285714</v>
      </c>
      <c r="BU11" s="9">
        <v>8000</v>
      </c>
      <c r="BV11" s="9">
        <v>4500</v>
      </c>
      <c r="BW11" s="9">
        <v>3000</v>
      </c>
      <c r="BX11" s="9">
        <v>1000</v>
      </c>
      <c r="BY11" s="9">
        <v>1600</v>
      </c>
      <c r="BZ11" s="9">
        <v>15000</v>
      </c>
      <c r="CA11" s="9">
        <v>3000</v>
      </c>
      <c r="CB11" s="9">
        <v>6000</v>
      </c>
      <c r="CC11" s="9">
        <v>3000</v>
      </c>
      <c r="CD11" s="11"/>
      <c r="CE11" s="68">
        <v>24000</v>
      </c>
      <c r="CF11" s="68">
        <v>164000</v>
      </c>
      <c r="CG11" s="68">
        <v>19570</v>
      </c>
      <c r="CH11" s="68">
        <v>4500</v>
      </c>
      <c r="CI11" s="68">
        <v>16800</v>
      </c>
      <c r="CJ11" s="68">
        <v>6000</v>
      </c>
      <c r="CK11" s="19"/>
      <c r="CL11" s="20" t="s">
        <v>52</v>
      </c>
      <c r="CM11" s="10">
        <v>71600</v>
      </c>
      <c r="CN11" s="11"/>
      <c r="CO11" s="29" t="s">
        <v>40</v>
      </c>
      <c r="CP11" s="71">
        <f>CP9/7</f>
        <v>880197.142857143</v>
      </c>
      <c r="CR11" s="9">
        <v>7500</v>
      </c>
      <c r="CS11" s="9">
        <v>1500</v>
      </c>
      <c r="CT11" s="9">
        <v>8000</v>
      </c>
      <c r="CU11" s="9"/>
      <c r="CV11" s="9"/>
      <c r="CW11" s="9"/>
      <c r="CX11" s="9"/>
      <c r="CY11" s="9"/>
      <c r="CZ11" s="11"/>
      <c r="DA11" s="68">
        <v>14000</v>
      </c>
      <c r="DB11" s="10"/>
      <c r="DC11" s="10"/>
      <c r="DD11" s="10"/>
      <c r="DE11" s="10"/>
      <c r="DF11" s="68">
        <v>9500</v>
      </c>
      <c r="DG11" s="19"/>
      <c r="DH11" s="20"/>
      <c r="DI11" s="10"/>
      <c r="DJ11" s="11"/>
      <c r="DK11" s="29" t="s">
        <v>40</v>
      </c>
      <c r="DL11" s="71">
        <f>DL9/7</f>
        <v>288341.428571429</v>
      </c>
      <c r="DN11" s="43" t="s">
        <v>36</v>
      </c>
      <c r="DO11" s="61"/>
      <c r="DP11" s="62">
        <f>DP9-DP7</f>
        <v>-79358</v>
      </c>
      <c r="DQ11" s="63"/>
    </row>
    <row r="12" ht="15" customHeight="1" spans="1:121">
      <c r="A12" s="9">
        <v>4400</v>
      </c>
      <c r="B12" s="9">
        <v>2500</v>
      </c>
      <c r="C12" s="9">
        <v>12000</v>
      </c>
      <c r="D12" s="9">
        <v>5000</v>
      </c>
      <c r="E12" s="9">
        <v>1000</v>
      </c>
      <c r="F12" s="9">
        <v>4500</v>
      </c>
      <c r="G12" s="9">
        <v>1400</v>
      </c>
      <c r="H12" s="9">
        <v>2700</v>
      </c>
      <c r="I12" s="9">
        <v>8400</v>
      </c>
      <c r="J12" s="11"/>
      <c r="K12" s="68">
        <v>9240</v>
      </c>
      <c r="L12" s="68">
        <v>28500</v>
      </c>
      <c r="M12" s="68">
        <v>24000</v>
      </c>
      <c r="N12" s="10">
        <v>6500</v>
      </c>
      <c r="O12" s="10">
        <v>4000</v>
      </c>
      <c r="P12" s="10">
        <v>800</v>
      </c>
      <c r="Q12" s="10">
        <v>1600</v>
      </c>
      <c r="R12" s="19"/>
      <c r="S12" s="20" t="s">
        <v>129</v>
      </c>
      <c r="T12" s="10">
        <v>83580</v>
      </c>
      <c r="U12" s="11"/>
      <c r="V12" s="24"/>
      <c r="W12" s="72">
        <v>1276490</v>
      </c>
      <c r="X12" s="24"/>
      <c r="Y12" s="9">
        <v>4500</v>
      </c>
      <c r="Z12" s="9">
        <v>4500</v>
      </c>
      <c r="AA12" s="9">
        <v>30000</v>
      </c>
      <c r="AB12" s="9">
        <v>8000</v>
      </c>
      <c r="AC12" s="9">
        <v>14000</v>
      </c>
      <c r="AD12" s="9">
        <v>7700</v>
      </c>
      <c r="AE12" s="9">
        <v>3500</v>
      </c>
      <c r="AF12" s="9">
        <v>12300</v>
      </c>
      <c r="AG12" s="9">
        <v>2000</v>
      </c>
      <c r="AH12" s="11"/>
      <c r="AI12" s="68">
        <v>11050</v>
      </c>
      <c r="AJ12" s="68">
        <v>3840</v>
      </c>
      <c r="AK12" s="68">
        <v>9220</v>
      </c>
      <c r="AL12" s="68">
        <v>2000</v>
      </c>
      <c r="AM12" s="68">
        <v>8000</v>
      </c>
      <c r="AN12" s="68">
        <v>20000</v>
      </c>
      <c r="AO12" s="19"/>
      <c r="AP12" s="20" t="s">
        <v>137</v>
      </c>
      <c r="AQ12" s="10">
        <v>71200</v>
      </c>
      <c r="AR12" s="11"/>
      <c r="AS12" s="24"/>
      <c r="AT12" s="72"/>
      <c r="AV12" s="9">
        <v>2000</v>
      </c>
      <c r="AW12" s="9">
        <v>8000</v>
      </c>
      <c r="AX12" s="9">
        <v>3500</v>
      </c>
      <c r="AY12" s="9">
        <v>54000</v>
      </c>
      <c r="AZ12" s="9">
        <v>7500</v>
      </c>
      <c r="BA12" s="9">
        <v>2800</v>
      </c>
      <c r="BB12" s="9">
        <v>4000</v>
      </c>
      <c r="BC12" s="9">
        <v>10500</v>
      </c>
      <c r="BD12" s="9">
        <v>8000</v>
      </c>
      <c r="BE12" s="11"/>
      <c r="BF12" s="68">
        <v>4000</v>
      </c>
      <c r="BG12" s="68">
        <v>8320</v>
      </c>
      <c r="BH12" s="68">
        <v>43000</v>
      </c>
      <c r="BI12" s="10"/>
      <c r="BJ12" s="10">
        <v>5500</v>
      </c>
      <c r="BK12" s="10">
        <v>1500</v>
      </c>
      <c r="BL12" s="10">
        <v>2500</v>
      </c>
      <c r="BM12" s="9"/>
      <c r="BN12" s="19"/>
      <c r="BO12" s="20" t="s">
        <v>184</v>
      </c>
      <c r="BP12" s="10">
        <v>253260</v>
      </c>
      <c r="BQ12" s="11"/>
      <c r="BR12" s="24"/>
      <c r="BS12" s="72"/>
      <c r="BU12" s="9">
        <v>5000</v>
      </c>
      <c r="BV12" s="9">
        <v>500</v>
      </c>
      <c r="BW12" s="9">
        <v>10000</v>
      </c>
      <c r="BX12" s="9">
        <v>10000</v>
      </c>
      <c r="BY12" s="9">
        <v>2500</v>
      </c>
      <c r="BZ12" s="9">
        <v>23000</v>
      </c>
      <c r="CA12" s="9">
        <v>2000</v>
      </c>
      <c r="CB12" s="9">
        <v>2000</v>
      </c>
      <c r="CC12" s="9">
        <v>30500</v>
      </c>
      <c r="CD12" s="11"/>
      <c r="CE12" s="68">
        <v>3000</v>
      </c>
      <c r="CF12" s="68">
        <v>1000</v>
      </c>
      <c r="CG12" s="68">
        <v>12010</v>
      </c>
      <c r="CH12" s="68">
        <v>90000</v>
      </c>
      <c r="CI12" s="68">
        <v>3800</v>
      </c>
      <c r="CJ12" s="68">
        <v>18000</v>
      </c>
      <c r="CK12" s="19"/>
      <c r="CL12" s="20" t="s">
        <v>173</v>
      </c>
      <c r="CM12" s="10">
        <v>50000</v>
      </c>
      <c r="CN12" s="11"/>
      <c r="CO12" s="75">
        <v>50000</v>
      </c>
      <c r="CP12" s="75">
        <v>50000</v>
      </c>
      <c r="CQ12" s="75">
        <v>520000</v>
      </c>
      <c r="CR12" s="9">
        <v>2000</v>
      </c>
      <c r="CS12" s="9">
        <v>9300</v>
      </c>
      <c r="CT12" s="9">
        <v>9000</v>
      </c>
      <c r="CU12" s="9"/>
      <c r="CV12" s="9"/>
      <c r="CW12" s="9"/>
      <c r="CX12" s="9"/>
      <c r="CY12" s="9"/>
      <c r="CZ12" s="11"/>
      <c r="DA12" s="68">
        <v>3000</v>
      </c>
      <c r="DB12" s="10"/>
      <c r="DC12" s="10"/>
      <c r="DD12" s="10"/>
      <c r="DE12" s="10"/>
      <c r="DF12" s="68">
        <v>10000</v>
      </c>
      <c r="DG12" s="19"/>
      <c r="DH12" s="20"/>
      <c r="DI12" s="10"/>
      <c r="DJ12" s="11"/>
      <c r="DK12" s="72"/>
      <c r="DL12" s="72"/>
      <c r="DN12" s="44"/>
      <c r="DO12" s="64"/>
      <c r="DP12" s="65"/>
      <c r="DQ12" s="66"/>
    </row>
    <row r="13" spans="1:116">
      <c r="A13" s="9">
        <v>2500</v>
      </c>
      <c r="B13" s="9">
        <v>20000</v>
      </c>
      <c r="C13" s="9">
        <v>11000</v>
      </c>
      <c r="D13" s="9">
        <v>1500</v>
      </c>
      <c r="E13" s="9">
        <v>500</v>
      </c>
      <c r="F13" s="9">
        <v>2000</v>
      </c>
      <c r="G13" s="9">
        <v>2000</v>
      </c>
      <c r="H13" s="9">
        <v>8000</v>
      </c>
      <c r="I13" s="9">
        <v>6500</v>
      </c>
      <c r="J13" s="11"/>
      <c r="K13" s="68">
        <v>19210</v>
      </c>
      <c r="L13" s="68">
        <v>14410</v>
      </c>
      <c r="M13" s="68">
        <v>18000</v>
      </c>
      <c r="N13" s="10">
        <v>9000</v>
      </c>
      <c r="O13" s="10">
        <v>9000</v>
      </c>
      <c r="P13" s="10">
        <v>5000</v>
      </c>
      <c r="Q13" s="10">
        <v>6400</v>
      </c>
      <c r="R13" s="19"/>
      <c r="S13" s="20" t="s">
        <v>47</v>
      </c>
      <c r="T13" s="10">
        <v>100000</v>
      </c>
      <c r="U13" s="11"/>
      <c r="V13" s="24"/>
      <c r="W13" s="72">
        <v>100000</v>
      </c>
      <c r="X13" s="24"/>
      <c r="Y13" s="9">
        <v>2000</v>
      </c>
      <c r="Z13" s="9">
        <v>6500</v>
      </c>
      <c r="AA13" s="9">
        <v>9000</v>
      </c>
      <c r="AB13" s="9">
        <v>4600</v>
      </c>
      <c r="AC13" s="9">
        <v>5500</v>
      </c>
      <c r="AD13" s="9">
        <v>6500</v>
      </c>
      <c r="AE13" s="9">
        <v>1200</v>
      </c>
      <c r="AF13" s="9">
        <v>2500</v>
      </c>
      <c r="AG13" s="9">
        <v>3000</v>
      </c>
      <c r="AH13" s="11"/>
      <c r="AI13" s="68">
        <v>41530</v>
      </c>
      <c r="AJ13" s="68">
        <v>3300</v>
      </c>
      <c r="AK13" s="68">
        <v>5760</v>
      </c>
      <c r="AL13" s="68">
        <v>32400</v>
      </c>
      <c r="AM13" s="68">
        <v>3000</v>
      </c>
      <c r="AN13" s="68">
        <v>130000</v>
      </c>
      <c r="AO13" s="19"/>
      <c r="AP13" s="20" t="s">
        <v>82</v>
      </c>
      <c r="AQ13" s="10">
        <v>38800</v>
      </c>
      <c r="AR13" s="11"/>
      <c r="AS13" s="24"/>
      <c r="AT13" s="72"/>
      <c r="AV13" s="9">
        <v>4000</v>
      </c>
      <c r="AW13" s="9">
        <v>3500</v>
      </c>
      <c r="AX13" s="9">
        <v>2000</v>
      </c>
      <c r="AY13" s="9">
        <v>34000</v>
      </c>
      <c r="AZ13" s="9">
        <v>300</v>
      </c>
      <c r="BA13" s="9">
        <v>1600</v>
      </c>
      <c r="BB13" s="9">
        <v>13500</v>
      </c>
      <c r="BC13" s="9">
        <v>16000</v>
      </c>
      <c r="BD13" s="9"/>
      <c r="BE13" s="11"/>
      <c r="BF13" s="68">
        <v>16840</v>
      </c>
      <c r="BG13" s="68">
        <v>7690</v>
      </c>
      <c r="BH13" s="68">
        <v>14730</v>
      </c>
      <c r="BI13" s="10"/>
      <c r="BJ13" s="10">
        <v>17800</v>
      </c>
      <c r="BK13" s="10">
        <v>4500</v>
      </c>
      <c r="BL13" s="10">
        <v>14000</v>
      </c>
      <c r="BM13" s="9"/>
      <c r="BN13" s="19"/>
      <c r="BO13" s="20" t="s">
        <v>185</v>
      </c>
      <c r="BP13" s="10">
        <v>43000</v>
      </c>
      <c r="BQ13" s="11"/>
      <c r="BR13" s="24"/>
      <c r="BS13" s="72">
        <v>92200</v>
      </c>
      <c r="BU13" s="9">
        <v>5000</v>
      </c>
      <c r="BV13" s="9">
        <v>15000</v>
      </c>
      <c r="BW13" s="9">
        <v>12500</v>
      </c>
      <c r="BX13" s="9">
        <v>6500</v>
      </c>
      <c r="BY13" s="9">
        <v>1000</v>
      </c>
      <c r="BZ13" s="9">
        <v>200</v>
      </c>
      <c r="CA13" s="9">
        <v>10000</v>
      </c>
      <c r="CB13" s="9">
        <v>700</v>
      </c>
      <c r="CC13" s="9">
        <v>20000</v>
      </c>
      <c r="CD13" s="11"/>
      <c r="CE13" s="68">
        <v>13000</v>
      </c>
      <c r="CF13" s="68">
        <v>4500</v>
      </c>
      <c r="CG13" s="68">
        <v>2200</v>
      </c>
      <c r="CH13" s="68">
        <v>1200</v>
      </c>
      <c r="CI13" s="68">
        <v>20000</v>
      </c>
      <c r="CJ13" s="68">
        <v>12500</v>
      </c>
      <c r="CK13" s="19"/>
      <c r="CL13" s="20" t="s">
        <v>14</v>
      </c>
      <c r="CM13" s="10">
        <v>1268137</v>
      </c>
      <c r="CN13" s="11"/>
      <c r="CO13" s="75">
        <v>200000</v>
      </c>
      <c r="CP13" s="75">
        <v>28000</v>
      </c>
      <c r="CQ13" s="75"/>
      <c r="CR13" s="9">
        <v>2000</v>
      </c>
      <c r="CS13" s="9">
        <v>1500</v>
      </c>
      <c r="CT13" s="9">
        <v>7500</v>
      </c>
      <c r="CU13" s="9"/>
      <c r="CV13" s="9"/>
      <c r="CW13" s="9"/>
      <c r="CX13" s="9"/>
      <c r="CY13" s="9"/>
      <c r="CZ13" s="11"/>
      <c r="DA13" s="68">
        <v>58000</v>
      </c>
      <c r="DB13" s="10"/>
      <c r="DC13" s="10"/>
      <c r="DD13" s="10"/>
      <c r="DE13" s="10"/>
      <c r="DF13" s="68">
        <v>4500</v>
      </c>
      <c r="DG13" s="19"/>
      <c r="DH13" s="20"/>
      <c r="DI13" s="10"/>
      <c r="DJ13" s="11"/>
      <c r="DK13" s="72"/>
      <c r="DL13" s="72">
        <v>1375167</v>
      </c>
    </row>
    <row r="14" spans="1:116">
      <c r="A14" s="9">
        <v>4500</v>
      </c>
      <c r="B14" s="9">
        <v>2500</v>
      </c>
      <c r="C14" s="9">
        <v>4500</v>
      </c>
      <c r="D14" s="9">
        <v>12000</v>
      </c>
      <c r="E14" s="9">
        <v>800</v>
      </c>
      <c r="F14" s="9">
        <v>1000</v>
      </c>
      <c r="G14" s="9">
        <v>5000</v>
      </c>
      <c r="H14" s="9">
        <v>30000</v>
      </c>
      <c r="I14" s="9">
        <v>5000</v>
      </c>
      <c r="J14" s="11"/>
      <c r="K14" s="68">
        <v>17300</v>
      </c>
      <c r="L14" s="68">
        <v>192620</v>
      </c>
      <c r="M14" s="68">
        <v>6500</v>
      </c>
      <c r="N14" s="10">
        <v>70000</v>
      </c>
      <c r="O14" s="10">
        <v>36500</v>
      </c>
      <c r="P14" s="10">
        <v>3500</v>
      </c>
      <c r="Q14" s="10">
        <v>1800</v>
      </c>
      <c r="R14" s="19"/>
      <c r="S14" s="20" t="s">
        <v>7</v>
      </c>
      <c r="T14" s="10">
        <v>24000</v>
      </c>
      <c r="U14" s="11"/>
      <c r="V14" s="75">
        <v>315000</v>
      </c>
      <c r="W14" s="72">
        <v>228100</v>
      </c>
      <c r="X14" s="24"/>
      <c r="Y14" s="9">
        <v>17400</v>
      </c>
      <c r="Z14" s="9">
        <v>4000</v>
      </c>
      <c r="AA14" s="9">
        <v>1000</v>
      </c>
      <c r="AB14" s="9">
        <v>7500</v>
      </c>
      <c r="AC14" s="9">
        <v>2000</v>
      </c>
      <c r="AD14" s="9">
        <v>10000</v>
      </c>
      <c r="AE14" s="9">
        <v>3000</v>
      </c>
      <c r="AF14" s="9">
        <v>2000</v>
      </c>
      <c r="AG14" s="9">
        <v>1000</v>
      </c>
      <c r="AH14" s="11"/>
      <c r="AI14" s="68">
        <v>4300</v>
      </c>
      <c r="AJ14" s="68">
        <v>3170</v>
      </c>
      <c r="AK14" s="68">
        <v>4500</v>
      </c>
      <c r="AL14" s="68">
        <v>7200</v>
      </c>
      <c r="AM14" s="68">
        <v>6200</v>
      </c>
      <c r="AN14" s="68">
        <v>2000</v>
      </c>
      <c r="AO14" s="19"/>
      <c r="AP14" s="20" t="s">
        <v>14</v>
      </c>
      <c r="AQ14" s="10">
        <v>787660</v>
      </c>
      <c r="AR14" s="11"/>
      <c r="AS14" s="24"/>
      <c r="AT14" s="72">
        <v>1811000</v>
      </c>
      <c r="AV14" s="9">
        <v>8000</v>
      </c>
      <c r="AW14" s="9">
        <v>4500</v>
      </c>
      <c r="AX14" s="9">
        <v>4500</v>
      </c>
      <c r="AY14" s="9">
        <v>10000</v>
      </c>
      <c r="AZ14" s="9">
        <v>34000</v>
      </c>
      <c r="BA14" s="9">
        <v>6400</v>
      </c>
      <c r="BB14" s="9">
        <v>2000</v>
      </c>
      <c r="BC14" s="9">
        <v>11500</v>
      </c>
      <c r="BD14" s="9"/>
      <c r="BE14" s="11"/>
      <c r="BF14" s="68">
        <v>39390</v>
      </c>
      <c r="BG14" s="68">
        <v>7600</v>
      </c>
      <c r="BH14" s="68">
        <v>43230</v>
      </c>
      <c r="BI14" s="10"/>
      <c r="BJ14" s="10">
        <v>17000</v>
      </c>
      <c r="BK14" s="10">
        <v>19500</v>
      </c>
      <c r="BL14" s="10">
        <v>37500</v>
      </c>
      <c r="BM14" s="9"/>
      <c r="BN14" s="19"/>
      <c r="BO14" s="20" t="s">
        <v>44</v>
      </c>
      <c r="BP14" s="10">
        <v>260000</v>
      </c>
      <c r="BQ14" s="11"/>
      <c r="BR14" s="24"/>
      <c r="BS14" s="72">
        <v>907740</v>
      </c>
      <c r="BU14" s="9">
        <v>6500</v>
      </c>
      <c r="BV14" s="9">
        <v>5000</v>
      </c>
      <c r="BW14" s="9">
        <v>3000</v>
      </c>
      <c r="BX14" s="9">
        <v>6000</v>
      </c>
      <c r="BY14" s="9">
        <v>3000</v>
      </c>
      <c r="BZ14" s="9">
        <v>5000</v>
      </c>
      <c r="CA14" s="9">
        <v>4000</v>
      </c>
      <c r="CB14" s="9">
        <v>500</v>
      </c>
      <c r="CC14" s="9">
        <v>46000</v>
      </c>
      <c r="CD14" s="11"/>
      <c r="CE14" s="68">
        <v>3500</v>
      </c>
      <c r="CF14" s="68">
        <v>85000</v>
      </c>
      <c r="CG14" s="68">
        <v>10500</v>
      </c>
      <c r="CH14" s="68">
        <v>5500</v>
      </c>
      <c r="CI14" s="68">
        <v>2850</v>
      </c>
      <c r="CJ14" s="68">
        <v>36000</v>
      </c>
      <c r="CK14" s="19"/>
      <c r="CL14" s="20" t="s">
        <v>14</v>
      </c>
      <c r="CM14" s="10">
        <v>667500</v>
      </c>
      <c r="CN14" s="11"/>
      <c r="CO14" s="75">
        <v>1268137</v>
      </c>
      <c r="CP14" s="75">
        <v>64200</v>
      </c>
      <c r="CQ14" s="75"/>
      <c r="CR14" s="9">
        <v>26000</v>
      </c>
      <c r="CS14" s="9">
        <v>1000</v>
      </c>
      <c r="CT14" s="9">
        <v>15000</v>
      </c>
      <c r="CU14" s="9"/>
      <c r="CV14" s="9"/>
      <c r="CW14" s="9"/>
      <c r="CX14" s="9"/>
      <c r="CY14" s="9"/>
      <c r="CZ14" s="11"/>
      <c r="DA14" s="68">
        <v>19400</v>
      </c>
      <c r="DB14" s="10"/>
      <c r="DC14" s="10"/>
      <c r="DD14" s="10"/>
      <c r="DE14" s="10"/>
      <c r="DF14" s="68">
        <v>79000</v>
      </c>
      <c r="DG14" s="19"/>
      <c r="DH14" s="20"/>
      <c r="DI14" s="10"/>
      <c r="DJ14" s="11"/>
      <c r="DK14" s="72"/>
      <c r="DL14" s="72">
        <v>627780</v>
      </c>
    </row>
    <row r="15" ht="15.75" customHeight="1" spans="1:116">
      <c r="A15" s="9">
        <v>6000</v>
      </c>
      <c r="B15" s="9">
        <v>20000</v>
      </c>
      <c r="C15" s="9">
        <v>3000</v>
      </c>
      <c r="D15" s="9">
        <v>18000</v>
      </c>
      <c r="E15" s="9">
        <v>1800</v>
      </c>
      <c r="F15" s="9">
        <v>9000</v>
      </c>
      <c r="G15" s="9">
        <v>4000</v>
      </c>
      <c r="H15" s="9">
        <v>17600</v>
      </c>
      <c r="I15" s="9">
        <v>2500</v>
      </c>
      <c r="J15" s="11"/>
      <c r="K15" s="68">
        <v>5190</v>
      </c>
      <c r="L15" s="68">
        <v>43190</v>
      </c>
      <c r="M15" s="68">
        <v>6000</v>
      </c>
      <c r="N15" s="10">
        <v>600</v>
      </c>
      <c r="O15" s="10">
        <v>24000</v>
      </c>
      <c r="P15" s="10">
        <v>3500</v>
      </c>
      <c r="Q15" s="10">
        <v>7000</v>
      </c>
      <c r="R15" s="19"/>
      <c r="S15" s="20" t="s">
        <v>34</v>
      </c>
      <c r="T15" s="10">
        <v>24000</v>
      </c>
      <c r="U15" s="11"/>
      <c r="V15" s="32" t="s">
        <v>50</v>
      </c>
      <c r="W15" s="33">
        <v>1004760</v>
      </c>
      <c r="X15" s="24"/>
      <c r="Y15" s="9">
        <v>7500</v>
      </c>
      <c r="Z15" s="9">
        <v>4000</v>
      </c>
      <c r="AA15" s="9">
        <v>2000</v>
      </c>
      <c r="AB15" s="9">
        <v>800</v>
      </c>
      <c r="AC15" s="9">
        <v>10000</v>
      </c>
      <c r="AD15" s="9">
        <v>6500</v>
      </c>
      <c r="AE15" s="9">
        <v>3700</v>
      </c>
      <c r="AF15" s="9">
        <v>2300</v>
      </c>
      <c r="AG15" s="9">
        <v>5000</v>
      </c>
      <c r="AH15" s="11"/>
      <c r="AI15" s="68">
        <v>1010</v>
      </c>
      <c r="AJ15" s="68">
        <v>3080</v>
      </c>
      <c r="AK15" s="68">
        <v>19220</v>
      </c>
      <c r="AL15" s="68">
        <v>10000</v>
      </c>
      <c r="AM15" s="68">
        <v>4500</v>
      </c>
      <c r="AN15" s="68">
        <v>800</v>
      </c>
      <c r="AO15" s="19"/>
      <c r="AP15" s="20" t="s">
        <v>14</v>
      </c>
      <c r="AQ15" s="10">
        <v>1811022</v>
      </c>
      <c r="AR15" s="11"/>
      <c r="AS15" s="32" t="s">
        <v>50</v>
      </c>
      <c r="AT15" s="33">
        <v>252480</v>
      </c>
      <c r="AV15" s="9">
        <v>42000</v>
      </c>
      <c r="AW15" s="9">
        <v>3500</v>
      </c>
      <c r="AX15" s="9">
        <v>8000</v>
      </c>
      <c r="AY15" s="9">
        <v>5000</v>
      </c>
      <c r="AZ15" s="9">
        <v>14000</v>
      </c>
      <c r="BA15" s="9">
        <v>6000</v>
      </c>
      <c r="BB15" s="9">
        <v>4000</v>
      </c>
      <c r="BC15" s="9">
        <v>8500</v>
      </c>
      <c r="BD15" s="9"/>
      <c r="BE15" s="11"/>
      <c r="BF15" s="68">
        <v>2500</v>
      </c>
      <c r="BG15" s="68">
        <v>860</v>
      </c>
      <c r="BH15" s="68">
        <v>5000</v>
      </c>
      <c r="BI15" s="10"/>
      <c r="BJ15" s="10">
        <v>9000</v>
      </c>
      <c r="BK15" s="10">
        <v>4500</v>
      </c>
      <c r="BL15" s="10">
        <v>22000</v>
      </c>
      <c r="BM15" s="9"/>
      <c r="BN15" s="19"/>
      <c r="BO15" s="20"/>
      <c r="BP15" s="10"/>
      <c r="BQ15" s="11"/>
      <c r="BR15" s="32" t="s">
        <v>50</v>
      </c>
      <c r="BS15" s="33"/>
      <c r="BU15" s="9">
        <v>22500</v>
      </c>
      <c r="BV15" s="9">
        <v>3000</v>
      </c>
      <c r="BW15" s="9">
        <v>17500</v>
      </c>
      <c r="BX15" s="9">
        <v>1500</v>
      </c>
      <c r="BY15" s="9">
        <v>4500</v>
      </c>
      <c r="BZ15" s="9">
        <v>11000</v>
      </c>
      <c r="CA15" s="9">
        <v>10000</v>
      </c>
      <c r="CB15" s="9">
        <v>3500</v>
      </c>
      <c r="CC15" s="9">
        <v>5000</v>
      </c>
      <c r="CD15" s="11"/>
      <c r="CE15" s="68">
        <v>3940</v>
      </c>
      <c r="CF15" s="68">
        <v>50500</v>
      </c>
      <c r="CG15" s="68">
        <v>9610</v>
      </c>
      <c r="CH15" s="68">
        <v>5300</v>
      </c>
      <c r="CI15" s="68">
        <v>10000</v>
      </c>
      <c r="CJ15" s="68">
        <v>44000</v>
      </c>
      <c r="CK15" s="19"/>
      <c r="CL15" s="20" t="s">
        <v>173</v>
      </c>
      <c r="CM15" s="10">
        <v>50000</v>
      </c>
      <c r="CN15" s="11"/>
      <c r="CO15" s="32" t="s">
        <v>50</v>
      </c>
      <c r="CP15" s="33">
        <v>274580</v>
      </c>
      <c r="CQ15" s="24"/>
      <c r="CR15" s="9">
        <v>1800</v>
      </c>
      <c r="CS15" s="9">
        <v>6500</v>
      </c>
      <c r="CT15" s="9">
        <v>40000</v>
      </c>
      <c r="CU15" s="9"/>
      <c r="CV15" s="9"/>
      <c r="CW15" s="9"/>
      <c r="CX15" s="9"/>
      <c r="CY15" s="9"/>
      <c r="CZ15" s="11"/>
      <c r="DA15" s="68">
        <v>9500</v>
      </c>
      <c r="DB15" s="10"/>
      <c r="DC15" s="10"/>
      <c r="DD15" s="10"/>
      <c r="DE15" s="10"/>
      <c r="DF15" s="68">
        <v>16000</v>
      </c>
      <c r="DG15" s="19"/>
      <c r="DH15" s="20"/>
      <c r="DI15" s="10"/>
      <c r="DJ15" s="11"/>
      <c r="DK15" s="32" t="s">
        <v>50</v>
      </c>
      <c r="DL15" s="33"/>
    </row>
    <row r="16" ht="15" customHeight="1" spans="1:116">
      <c r="A16" s="9">
        <v>10000</v>
      </c>
      <c r="B16" s="9">
        <v>600</v>
      </c>
      <c r="C16" s="9">
        <v>2500</v>
      </c>
      <c r="D16" s="9">
        <v>3000</v>
      </c>
      <c r="E16" s="9">
        <v>13000</v>
      </c>
      <c r="F16" s="9">
        <v>500</v>
      </c>
      <c r="G16" s="9">
        <v>2500</v>
      </c>
      <c r="H16" s="9">
        <v>1000</v>
      </c>
      <c r="I16" s="9">
        <v>2300</v>
      </c>
      <c r="J16" s="11"/>
      <c r="K16" s="68">
        <v>15000</v>
      </c>
      <c r="L16" s="68">
        <v>11530</v>
      </c>
      <c r="M16" s="68">
        <v>1000</v>
      </c>
      <c r="N16" s="10">
        <v>7000</v>
      </c>
      <c r="O16" s="10">
        <v>8700</v>
      </c>
      <c r="P16" s="10">
        <v>13500</v>
      </c>
      <c r="Q16" s="10">
        <v>6000</v>
      </c>
      <c r="R16" s="21"/>
      <c r="S16" s="20" t="s">
        <v>5</v>
      </c>
      <c r="T16" s="10">
        <v>315000</v>
      </c>
      <c r="U16" s="11"/>
      <c r="V16" s="32" t="s">
        <v>53</v>
      </c>
      <c r="W16" s="33"/>
      <c r="X16" s="24"/>
      <c r="Y16" s="9">
        <v>600</v>
      </c>
      <c r="Z16" s="9">
        <v>6000</v>
      </c>
      <c r="AA16" s="9">
        <v>4000</v>
      </c>
      <c r="AB16" s="9">
        <v>500</v>
      </c>
      <c r="AC16" s="9">
        <v>15000</v>
      </c>
      <c r="AD16" s="9">
        <v>22500</v>
      </c>
      <c r="AE16" s="9">
        <v>2400</v>
      </c>
      <c r="AF16" s="9">
        <v>9000</v>
      </c>
      <c r="AG16" s="9"/>
      <c r="AH16" s="11"/>
      <c r="AI16" s="68">
        <v>700</v>
      </c>
      <c r="AJ16" s="68">
        <v>5770</v>
      </c>
      <c r="AK16" s="68">
        <v>8500</v>
      </c>
      <c r="AL16" s="68">
        <v>10200</v>
      </c>
      <c r="AM16" s="68">
        <v>13300</v>
      </c>
      <c r="AN16" s="68">
        <v>33400</v>
      </c>
      <c r="AO16" s="21"/>
      <c r="AP16" s="20" t="s">
        <v>5</v>
      </c>
      <c r="AQ16" s="10">
        <v>480000</v>
      </c>
      <c r="AR16" s="11"/>
      <c r="AS16" s="32" t="s">
        <v>53</v>
      </c>
      <c r="AT16" s="33"/>
      <c r="AV16" s="9">
        <v>17700</v>
      </c>
      <c r="AW16" s="9">
        <v>6000</v>
      </c>
      <c r="AX16" s="9">
        <v>2500</v>
      </c>
      <c r="AY16" s="9">
        <v>5000</v>
      </c>
      <c r="AZ16" s="9">
        <v>2000</v>
      </c>
      <c r="BA16" s="9">
        <v>10000</v>
      </c>
      <c r="BB16" s="9">
        <v>2000</v>
      </c>
      <c r="BC16" s="9">
        <v>10500</v>
      </c>
      <c r="BD16" s="9"/>
      <c r="BE16" s="11"/>
      <c r="BF16" s="68">
        <v>5000</v>
      </c>
      <c r="BG16" s="68">
        <v>5480</v>
      </c>
      <c r="BH16" s="68">
        <v>5000</v>
      </c>
      <c r="BI16" s="10"/>
      <c r="BJ16" s="10">
        <v>8500</v>
      </c>
      <c r="BK16" s="10">
        <v>40500</v>
      </c>
      <c r="BL16" s="10">
        <v>3300</v>
      </c>
      <c r="BM16" s="9"/>
      <c r="BN16" s="21"/>
      <c r="BO16" s="20"/>
      <c r="BP16" s="10"/>
      <c r="BQ16" s="11"/>
      <c r="BR16" s="32" t="s">
        <v>53</v>
      </c>
      <c r="BS16" s="33"/>
      <c r="BU16" s="9">
        <v>3000</v>
      </c>
      <c r="BV16" s="9">
        <v>5600</v>
      </c>
      <c r="BW16" s="9">
        <v>6000</v>
      </c>
      <c r="BX16" s="9">
        <v>1000</v>
      </c>
      <c r="BY16" s="9">
        <v>3500</v>
      </c>
      <c r="BZ16" s="9">
        <v>33800</v>
      </c>
      <c r="CA16" s="9">
        <v>5500</v>
      </c>
      <c r="CB16" s="9">
        <v>3000</v>
      </c>
      <c r="CC16" s="9"/>
      <c r="CD16" s="11"/>
      <c r="CE16" s="68">
        <v>24980</v>
      </c>
      <c r="CF16" s="68">
        <v>44670</v>
      </c>
      <c r="CG16" s="68">
        <v>3000</v>
      </c>
      <c r="CH16" s="68">
        <v>19500</v>
      </c>
      <c r="CI16" s="68">
        <v>3500</v>
      </c>
      <c r="CJ16" s="68">
        <v>13000</v>
      </c>
      <c r="CK16" s="21"/>
      <c r="CL16" s="20" t="s">
        <v>162</v>
      </c>
      <c r="CM16" s="10">
        <v>547500</v>
      </c>
      <c r="CN16" s="11"/>
      <c r="CO16" s="32" t="s">
        <v>53</v>
      </c>
      <c r="CP16" s="33"/>
      <c r="CQ16" s="31"/>
      <c r="CR16" s="9">
        <v>1700</v>
      </c>
      <c r="CS16" s="9">
        <v>1800</v>
      </c>
      <c r="CT16" s="9">
        <v>18000</v>
      </c>
      <c r="CU16" s="9"/>
      <c r="CV16" s="9"/>
      <c r="CW16" s="9"/>
      <c r="CX16" s="9"/>
      <c r="CY16" s="9"/>
      <c r="CZ16" s="11"/>
      <c r="DA16" s="68">
        <v>14500</v>
      </c>
      <c r="DB16" s="10"/>
      <c r="DC16" s="10"/>
      <c r="DD16" s="10"/>
      <c r="DE16" s="10"/>
      <c r="DF16" s="68">
        <v>3000</v>
      </c>
      <c r="DG16" s="21"/>
      <c r="DH16" s="20"/>
      <c r="DI16" s="10"/>
      <c r="DJ16" s="11"/>
      <c r="DK16" s="32" t="s">
        <v>53</v>
      </c>
      <c r="DL16" s="33">
        <v>541740</v>
      </c>
    </row>
    <row r="17" ht="15.75" customHeight="1" spans="1:116">
      <c r="A17" s="9">
        <v>1500</v>
      </c>
      <c r="B17" s="9">
        <v>14000</v>
      </c>
      <c r="C17" s="9">
        <v>1500</v>
      </c>
      <c r="D17" s="9">
        <v>2000</v>
      </c>
      <c r="E17" s="9">
        <v>4500</v>
      </c>
      <c r="F17" s="9">
        <v>12000</v>
      </c>
      <c r="G17" s="9">
        <v>19500</v>
      </c>
      <c r="H17" s="9">
        <v>1000</v>
      </c>
      <c r="I17" s="9">
        <v>3000</v>
      </c>
      <c r="J17" s="11"/>
      <c r="K17" s="68">
        <v>40140</v>
      </c>
      <c r="L17" s="68">
        <v>4320</v>
      </c>
      <c r="M17" s="68">
        <v>4500</v>
      </c>
      <c r="N17" s="10">
        <v>5000</v>
      </c>
      <c r="O17" s="10">
        <v>12000</v>
      </c>
      <c r="P17" s="10">
        <v>13000</v>
      </c>
      <c r="Q17" s="10">
        <v>17000</v>
      </c>
      <c r="R17" s="21"/>
      <c r="S17" s="20"/>
      <c r="T17" s="10"/>
      <c r="U17" s="11"/>
      <c r="V17" s="24"/>
      <c r="W17" s="72">
        <v>711920</v>
      </c>
      <c r="X17" s="24"/>
      <c r="Y17" s="9">
        <v>5000</v>
      </c>
      <c r="Z17" s="9">
        <v>2500</v>
      </c>
      <c r="AA17" s="9">
        <v>12000</v>
      </c>
      <c r="AB17" s="9">
        <v>10400</v>
      </c>
      <c r="AC17" s="9">
        <v>7000</v>
      </c>
      <c r="AD17" s="9">
        <v>5000</v>
      </c>
      <c r="AE17" s="9">
        <v>8500</v>
      </c>
      <c r="AF17" s="9">
        <v>27000</v>
      </c>
      <c r="AG17" s="9"/>
      <c r="AH17" s="11"/>
      <c r="AI17" s="68">
        <v>23000</v>
      </c>
      <c r="AJ17" s="68">
        <v>17000</v>
      </c>
      <c r="AK17" s="68">
        <v>4620</v>
      </c>
      <c r="AL17" s="68">
        <v>3500</v>
      </c>
      <c r="AM17" s="68">
        <v>19000</v>
      </c>
      <c r="AN17" s="10"/>
      <c r="AO17" s="21"/>
      <c r="AP17" s="20" t="s">
        <v>37</v>
      </c>
      <c r="AQ17" s="10">
        <v>890000</v>
      </c>
      <c r="AR17" s="11"/>
      <c r="AS17" s="24"/>
      <c r="AT17" s="72">
        <v>1790310</v>
      </c>
      <c r="AV17" s="9">
        <v>1500</v>
      </c>
      <c r="AW17" s="9">
        <v>200</v>
      </c>
      <c r="AX17" s="9">
        <v>2000</v>
      </c>
      <c r="AY17" s="9">
        <v>10000</v>
      </c>
      <c r="AZ17" s="9">
        <v>2100</v>
      </c>
      <c r="BA17" s="9">
        <v>1100</v>
      </c>
      <c r="BB17" s="9">
        <v>1500</v>
      </c>
      <c r="BC17" s="9">
        <v>20000</v>
      </c>
      <c r="BD17" s="9"/>
      <c r="BE17" s="11"/>
      <c r="BF17" s="68">
        <v>11390</v>
      </c>
      <c r="BG17" s="68">
        <v>38430</v>
      </c>
      <c r="BH17" s="68">
        <v>8130</v>
      </c>
      <c r="BI17" s="10"/>
      <c r="BJ17" s="10">
        <v>2000</v>
      </c>
      <c r="BK17" s="10">
        <v>5000</v>
      </c>
      <c r="BL17" s="10">
        <v>1500</v>
      </c>
      <c r="BM17" s="9"/>
      <c r="BN17" s="21"/>
      <c r="BO17" s="20"/>
      <c r="BP17" s="10"/>
      <c r="BQ17" s="11"/>
      <c r="BR17" s="24"/>
      <c r="BS17" s="72">
        <v>1777320</v>
      </c>
      <c r="BU17" s="9">
        <v>5000</v>
      </c>
      <c r="BV17" s="9">
        <v>300</v>
      </c>
      <c r="BW17" s="9">
        <v>600</v>
      </c>
      <c r="BX17" s="9">
        <v>38500</v>
      </c>
      <c r="BY17" s="9">
        <v>1000</v>
      </c>
      <c r="BZ17" s="9">
        <v>7000</v>
      </c>
      <c r="CA17" s="9">
        <v>7000</v>
      </c>
      <c r="CB17" s="9">
        <v>1500</v>
      </c>
      <c r="CC17" s="9"/>
      <c r="CD17" s="11"/>
      <c r="CE17" s="68">
        <v>21610</v>
      </c>
      <c r="CF17" s="68">
        <v>2300</v>
      </c>
      <c r="CG17" s="68">
        <v>8170</v>
      </c>
      <c r="CH17" s="68">
        <v>1600</v>
      </c>
      <c r="CI17" s="68">
        <v>3500</v>
      </c>
      <c r="CJ17" s="68">
        <v>13000</v>
      </c>
      <c r="CK17" s="21"/>
      <c r="CL17" s="20" t="s">
        <v>130</v>
      </c>
      <c r="CM17" s="10">
        <v>17400</v>
      </c>
      <c r="CN17" s="11"/>
      <c r="CO17" s="24"/>
      <c r="CP17" s="72">
        <v>10600</v>
      </c>
      <c r="CQ17" s="31"/>
      <c r="CR17" s="9">
        <v>73000</v>
      </c>
      <c r="CS17" s="9">
        <v>46000</v>
      </c>
      <c r="CT17" s="9">
        <v>7500</v>
      </c>
      <c r="CU17" s="9"/>
      <c r="CV17" s="9"/>
      <c r="CW17" s="9"/>
      <c r="CX17" s="9"/>
      <c r="CY17" s="9"/>
      <c r="CZ17" s="11"/>
      <c r="DA17" s="68">
        <v>18730</v>
      </c>
      <c r="DB17" s="10"/>
      <c r="DC17" s="10"/>
      <c r="DD17" s="10"/>
      <c r="DE17" s="10"/>
      <c r="DF17" s="68">
        <v>4000</v>
      </c>
      <c r="DG17" s="21"/>
      <c r="DH17" s="20"/>
      <c r="DI17" s="10"/>
      <c r="DJ17" s="11"/>
      <c r="DK17" s="24"/>
      <c r="DL17" s="72">
        <v>50000</v>
      </c>
    </row>
    <row r="18" ht="15.75" customHeight="1" spans="1:116">
      <c r="A18" s="9">
        <v>3000</v>
      </c>
      <c r="B18" s="9">
        <v>50000</v>
      </c>
      <c r="C18" s="9">
        <v>2700</v>
      </c>
      <c r="D18" s="9">
        <v>4000</v>
      </c>
      <c r="E18" s="9">
        <v>6000</v>
      </c>
      <c r="F18" s="9">
        <v>20000</v>
      </c>
      <c r="G18" s="9">
        <v>9000</v>
      </c>
      <c r="H18" s="9">
        <v>4000</v>
      </c>
      <c r="I18" s="9">
        <v>700</v>
      </c>
      <c r="J18" s="11"/>
      <c r="K18" s="68">
        <v>17300</v>
      </c>
      <c r="L18" s="68">
        <v>5000</v>
      </c>
      <c r="M18" s="68">
        <v>9200</v>
      </c>
      <c r="N18" s="10">
        <v>700</v>
      </c>
      <c r="O18" s="10">
        <v>4500</v>
      </c>
      <c r="P18" s="10">
        <v>7000</v>
      </c>
      <c r="Q18" s="10">
        <v>7000</v>
      </c>
      <c r="R18" s="21"/>
      <c r="S18" s="20"/>
      <c r="T18" s="10"/>
      <c r="U18" s="11"/>
      <c r="W18" s="72">
        <v>10600</v>
      </c>
      <c r="X18" s="24"/>
      <c r="Y18" s="9">
        <v>1000</v>
      </c>
      <c r="Z18" s="9">
        <v>4800</v>
      </c>
      <c r="AA18" s="9">
        <v>8500</v>
      </c>
      <c r="AB18" s="9">
        <v>5800</v>
      </c>
      <c r="AC18" s="9">
        <v>22500</v>
      </c>
      <c r="AD18" s="9">
        <v>8500</v>
      </c>
      <c r="AE18" s="9">
        <v>2500</v>
      </c>
      <c r="AF18" s="9">
        <v>2500</v>
      </c>
      <c r="AG18" s="9"/>
      <c r="AH18" s="11"/>
      <c r="AI18" s="68">
        <v>4000</v>
      </c>
      <c r="AJ18" s="68">
        <v>3360</v>
      </c>
      <c r="AK18" s="68">
        <v>6500</v>
      </c>
      <c r="AL18" s="68">
        <v>2000</v>
      </c>
      <c r="AM18" s="68">
        <v>7500</v>
      </c>
      <c r="AN18" s="10"/>
      <c r="AO18" s="21"/>
      <c r="AP18" s="20" t="s">
        <v>44</v>
      </c>
      <c r="AQ18" s="10">
        <v>85200</v>
      </c>
      <c r="AR18" s="11"/>
      <c r="AT18" s="72">
        <v>12000</v>
      </c>
      <c r="AV18" s="9">
        <v>10000</v>
      </c>
      <c r="AW18" s="9">
        <v>5000</v>
      </c>
      <c r="AX18" s="9">
        <v>24300</v>
      </c>
      <c r="AY18" s="9">
        <v>1000</v>
      </c>
      <c r="AZ18" s="9">
        <v>7000</v>
      </c>
      <c r="BA18" s="9">
        <v>2300</v>
      </c>
      <c r="BB18" s="9">
        <v>19000</v>
      </c>
      <c r="BC18" s="9">
        <v>8500</v>
      </c>
      <c r="BD18" s="9"/>
      <c r="BE18" s="11"/>
      <c r="BF18" s="68">
        <v>3340</v>
      </c>
      <c r="BG18" s="68">
        <v>16570</v>
      </c>
      <c r="BH18" s="68">
        <v>15500</v>
      </c>
      <c r="BI18" s="10"/>
      <c r="BJ18" s="10">
        <v>4000</v>
      </c>
      <c r="BK18" s="10">
        <v>1400</v>
      </c>
      <c r="BL18" s="10">
        <v>2600</v>
      </c>
      <c r="BM18" s="9"/>
      <c r="BN18" s="21"/>
      <c r="BO18" s="20"/>
      <c r="BP18" s="10"/>
      <c r="BQ18" s="11"/>
      <c r="BS18" s="72">
        <v>5000</v>
      </c>
      <c r="BU18" s="9">
        <v>5000</v>
      </c>
      <c r="BV18" s="9">
        <v>3000</v>
      </c>
      <c r="BW18" s="9">
        <v>22000</v>
      </c>
      <c r="BX18" s="9">
        <v>2500</v>
      </c>
      <c r="BY18" s="9">
        <v>3000</v>
      </c>
      <c r="BZ18" s="9">
        <v>7500</v>
      </c>
      <c r="CA18" s="9">
        <v>8500</v>
      </c>
      <c r="CB18" s="9">
        <v>7500</v>
      </c>
      <c r="CC18" s="9"/>
      <c r="CD18" s="11"/>
      <c r="CE18" s="68">
        <v>1200</v>
      </c>
      <c r="CF18" s="68">
        <v>50000</v>
      </c>
      <c r="CG18" s="68">
        <v>11300</v>
      </c>
      <c r="CH18" s="68">
        <v>3000</v>
      </c>
      <c r="CI18" s="68">
        <v>11000</v>
      </c>
      <c r="CJ18" s="68">
        <v>9000</v>
      </c>
      <c r="CK18" s="21"/>
      <c r="CL18" s="20" t="s">
        <v>31</v>
      </c>
      <c r="CM18" s="10">
        <v>24000</v>
      </c>
      <c r="CN18" s="11"/>
      <c r="CP18" s="72">
        <v>10000</v>
      </c>
      <c r="CQ18" s="24"/>
      <c r="CR18" s="9">
        <v>2000</v>
      </c>
      <c r="CS18" s="9">
        <v>1500</v>
      </c>
      <c r="CT18" s="9">
        <v>102000</v>
      </c>
      <c r="CU18" s="9"/>
      <c r="CV18" s="9"/>
      <c r="CW18" s="9"/>
      <c r="CX18" s="9"/>
      <c r="CY18" s="9"/>
      <c r="CZ18" s="11"/>
      <c r="DA18" s="68">
        <v>5760</v>
      </c>
      <c r="DB18" s="10"/>
      <c r="DC18" s="10"/>
      <c r="DD18" s="10"/>
      <c r="DE18" s="10"/>
      <c r="DF18" s="68">
        <v>2500</v>
      </c>
      <c r="DG18" s="21"/>
      <c r="DH18" s="20"/>
      <c r="DI18" s="10"/>
      <c r="DJ18" s="11"/>
      <c r="DL18" s="67">
        <v>185490</v>
      </c>
    </row>
    <row r="19" ht="15.75" customHeight="1" spans="1:116">
      <c r="A19" s="9">
        <v>4500</v>
      </c>
      <c r="B19" s="9">
        <v>4000</v>
      </c>
      <c r="C19" s="9">
        <v>4600</v>
      </c>
      <c r="D19" s="9">
        <v>26500</v>
      </c>
      <c r="E19" s="9">
        <v>4500</v>
      </c>
      <c r="F19" s="9">
        <v>5000</v>
      </c>
      <c r="G19" s="9">
        <v>9500</v>
      </c>
      <c r="H19" s="9">
        <v>2500</v>
      </c>
      <c r="I19" s="9"/>
      <c r="J19" s="11"/>
      <c r="K19" s="68">
        <v>30260</v>
      </c>
      <c r="L19" s="68">
        <v>24980</v>
      </c>
      <c r="M19" s="68">
        <v>6500</v>
      </c>
      <c r="N19" s="10">
        <v>12600</v>
      </c>
      <c r="O19" s="10">
        <v>600</v>
      </c>
      <c r="P19" s="10">
        <v>5500</v>
      </c>
      <c r="Q19" s="10">
        <v>13500</v>
      </c>
      <c r="R19" s="21"/>
      <c r="S19" s="20"/>
      <c r="T19" s="10"/>
      <c r="U19" s="11"/>
      <c r="V19" s="24"/>
      <c r="W19" s="72">
        <v>12000</v>
      </c>
      <c r="X19" s="24"/>
      <c r="Y19" s="9">
        <v>11500</v>
      </c>
      <c r="Z19" s="9">
        <v>3500</v>
      </c>
      <c r="AA19" s="9">
        <v>15000</v>
      </c>
      <c r="AB19" s="9">
        <v>1600</v>
      </c>
      <c r="AC19" s="9">
        <v>8500</v>
      </c>
      <c r="AD19" s="9">
        <v>2000</v>
      </c>
      <c r="AE19" s="9">
        <v>4500</v>
      </c>
      <c r="AF19" s="9">
        <v>2000</v>
      </c>
      <c r="AG19" s="9"/>
      <c r="AH19" s="11"/>
      <c r="AI19" s="68">
        <v>9600</v>
      </c>
      <c r="AJ19" s="68">
        <v>27000</v>
      </c>
      <c r="AK19" s="68">
        <v>9000</v>
      </c>
      <c r="AL19" s="68">
        <v>10000</v>
      </c>
      <c r="AM19" s="68">
        <v>13500</v>
      </c>
      <c r="AN19" s="10"/>
      <c r="AO19" s="21"/>
      <c r="AP19" s="20" t="s">
        <v>130</v>
      </c>
      <c r="AQ19" s="10">
        <v>38900</v>
      </c>
      <c r="AR19" s="11"/>
      <c r="AS19" s="24"/>
      <c r="AT19" s="72">
        <v>10600</v>
      </c>
      <c r="AV19" s="9">
        <v>3500</v>
      </c>
      <c r="AW19" s="9">
        <v>10500</v>
      </c>
      <c r="AX19" s="9">
        <v>1000</v>
      </c>
      <c r="AY19" s="9">
        <v>20000</v>
      </c>
      <c r="AZ19" s="9">
        <v>3200</v>
      </c>
      <c r="BA19" s="9">
        <v>15000</v>
      </c>
      <c r="BB19" s="9">
        <v>2000</v>
      </c>
      <c r="BC19" s="9">
        <v>8000</v>
      </c>
      <c r="BD19" s="9"/>
      <c r="BE19" s="11"/>
      <c r="BF19" s="68">
        <v>18300</v>
      </c>
      <c r="BG19" s="68">
        <v>4070</v>
      </c>
      <c r="BH19" s="68">
        <v>19800</v>
      </c>
      <c r="BI19" s="10"/>
      <c r="BJ19" s="10">
        <v>5000</v>
      </c>
      <c r="BK19" s="10">
        <v>12000</v>
      </c>
      <c r="BL19" s="10">
        <v>14000</v>
      </c>
      <c r="BM19" s="9"/>
      <c r="BN19" s="21"/>
      <c r="BO19" s="20"/>
      <c r="BP19" s="10"/>
      <c r="BQ19" s="11"/>
      <c r="BR19" s="24"/>
      <c r="BS19" s="72">
        <v>5600</v>
      </c>
      <c r="BU19" s="9">
        <v>18000</v>
      </c>
      <c r="BV19" s="9">
        <v>7500</v>
      </c>
      <c r="BW19" s="9">
        <v>500</v>
      </c>
      <c r="BX19" s="9">
        <v>3500</v>
      </c>
      <c r="BY19" s="9">
        <v>6000</v>
      </c>
      <c r="BZ19" s="9">
        <v>11000</v>
      </c>
      <c r="CA19" s="9">
        <v>1600</v>
      </c>
      <c r="CB19" s="9">
        <v>3800</v>
      </c>
      <c r="CC19" s="9"/>
      <c r="CD19" s="11"/>
      <c r="CE19" s="68">
        <v>9500</v>
      </c>
      <c r="CF19" s="68">
        <v>5000</v>
      </c>
      <c r="CG19" s="68">
        <v>15250</v>
      </c>
      <c r="CH19" s="68">
        <v>6500</v>
      </c>
      <c r="CI19" s="68">
        <v>76000</v>
      </c>
      <c r="CJ19" s="68">
        <v>3500</v>
      </c>
      <c r="CK19" s="21"/>
      <c r="CL19" s="20" t="s">
        <v>34</v>
      </c>
      <c r="CM19" s="10">
        <v>35200</v>
      </c>
      <c r="CN19" s="11"/>
      <c r="CO19" s="24"/>
      <c r="CP19" s="72">
        <v>10000</v>
      </c>
      <c r="CQ19" s="31"/>
      <c r="CR19" s="9">
        <v>4500</v>
      </c>
      <c r="CS19" s="9">
        <v>38000</v>
      </c>
      <c r="CT19" s="9">
        <v>24000</v>
      </c>
      <c r="CU19" s="9"/>
      <c r="CV19" s="9"/>
      <c r="CW19" s="9"/>
      <c r="CX19" s="9"/>
      <c r="CY19" s="9"/>
      <c r="CZ19" s="11"/>
      <c r="DA19" s="68">
        <v>5280</v>
      </c>
      <c r="DB19" s="10"/>
      <c r="DC19" s="10"/>
      <c r="DD19" s="10"/>
      <c r="DE19" s="10"/>
      <c r="DF19" s="68">
        <v>23000</v>
      </c>
      <c r="DG19" s="21"/>
      <c r="DH19" s="20"/>
      <c r="DI19" s="10"/>
      <c r="DJ19" s="11"/>
      <c r="DK19" s="24"/>
      <c r="DL19" s="72">
        <v>263530</v>
      </c>
    </row>
    <row r="20" ht="15" customHeight="1" spans="1:116">
      <c r="A20" s="9">
        <v>4500</v>
      </c>
      <c r="B20" s="9">
        <v>500</v>
      </c>
      <c r="C20" s="9">
        <v>2000</v>
      </c>
      <c r="D20" s="9">
        <v>2000</v>
      </c>
      <c r="E20" s="9">
        <v>2000</v>
      </c>
      <c r="F20" s="9">
        <v>85000</v>
      </c>
      <c r="G20" s="9">
        <v>2500</v>
      </c>
      <c r="H20" s="9">
        <v>3600</v>
      </c>
      <c r="I20" s="9"/>
      <c r="J20" s="11"/>
      <c r="K20" s="68">
        <v>1730</v>
      </c>
      <c r="L20" s="68">
        <v>40350</v>
      </c>
      <c r="M20" s="68">
        <v>12500</v>
      </c>
      <c r="N20" s="10">
        <v>15000</v>
      </c>
      <c r="O20" s="10">
        <v>9000</v>
      </c>
      <c r="P20" s="10">
        <v>1000</v>
      </c>
      <c r="Q20" s="10">
        <v>4000</v>
      </c>
      <c r="R20" s="21"/>
      <c r="S20" s="20"/>
      <c r="T20" s="10"/>
      <c r="U20" s="11"/>
      <c r="V20" s="24"/>
      <c r="W20" s="72">
        <v>10600</v>
      </c>
      <c r="X20" s="24"/>
      <c r="Y20" s="9">
        <v>1600</v>
      </c>
      <c r="Z20" s="9">
        <v>9000</v>
      </c>
      <c r="AA20" s="9">
        <v>2000</v>
      </c>
      <c r="AB20" s="9">
        <v>2000</v>
      </c>
      <c r="AC20" s="9">
        <v>1000</v>
      </c>
      <c r="AD20" s="9">
        <v>6500</v>
      </c>
      <c r="AE20" s="9">
        <v>4000</v>
      </c>
      <c r="AF20" s="9">
        <v>9500</v>
      </c>
      <c r="AG20" s="9"/>
      <c r="AH20" s="11"/>
      <c r="AI20" s="68">
        <v>11530</v>
      </c>
      <c r="AJ20" s="68">
        <v>4500</v>
      </c>
      <c r="AK20" s="68">
        <v>6300</v>
      </c>
      <c r="AL20" s="68">
        <v>5500</v>
      </c>
      <c r="AM20" s="68">
        <v>6000</v>
      </c>
      <c r="AN20" s="10"/>
      <c r="AO20" s="21"/>
      <c r="AP20" s="20"/>
      <c r="AQ20" s="10"/>
      <c r="AR20" s="11"/>
      <c r="AS20" s="24"/>
      <c r="AT20" s="72">
        <v>12000</v>
      </c>
      <c r="AV20" s="9">
        <v>4500</v>
      </c>
      <c r="AW20" s="9">
        <v>5000</v>
      </c>
      <c r="AX20" s="9">
        <v>3000</v>
      </c>
      <c r="AY20" s="9">
        <v>33500</v>
      </c>
      <c r="AZ20" s="9">
        <v>4800</v>
      </c>
      <c r="BA20" s="9">
        <v>10000</v>
      </c>
      <c r="BB20" s="9">
        <v>10000</v>
      </c>
      <c r="BC20" s="9">
        <v>5000</v>
      </c>
      <c r="BD20" s="9"/>
      <c r="BE20" s="11"/>
      <c r="BF20" s="68">
        <v>18730</v>
      </c>
      <c r="BG20" s="68">
        <v>15370</v>
      </c>
      <c r="BH20" s="68">
        <v>6000</v>
      </c>
      <c r="BI20" s="10"/>
      <c r="BJ20" s="10">
        <v>19000</v>
      </c>
      <c r="BK20" s="10">
        <v>3500</v>
      </c>
      <c r="BL20" s="10">
        <v>1000</v>
      </c>
      <c r="BM20" s="9"/>
      <c r="BN20" s="21"/>
      <c r="BO20" s="20"/>
      <c r="BP20" s="10"/>
      <c r="BQ20" s="11"/>
      <c r="BR20" s="24"/>
      <c r="BS20" s="72">
        <v>10000</v>
      </c>
      <c r="BU20" s="9">
        <v>3000</v>
      </c>
      <c r="BV20" s="9">
        <v>16000</v>
      </c>
      <c r="BW20" s="9">
        <v>1200</v>
      </c>
      <c r="BX20" s="9">
        <v>7000</v>
      </c>
      <c r="BY20" s="9">
        <v>10000</v>
      </c>
      <c r="BZ20" s="9">
        <v>10000</v>
      </c>
      <c r="CA20" s="9">
        <v>500</v>
      </c>
      <c r="CB20" s="9">
        <v>5000</v>
      </c>
      <c r="CC20" s="9"/>
      <c r="CD20" s="11"/>
      <c r="CE20" s="68">
        <v>1600</v>
      </c>
      <c r="CF20" s="68">
        <v>25800</v>
      </c>
      <c r="CG20" s="68">
        <v>77240</v>
      </c>
      <c r="CH20" s="68">
        <v>8000</v>
      </c>
      <c r="CI20" s="68">
        <v>50000</v>
      </c>
      <c r="CJ20" s="68">
        <v>1500</v>
      </c>
      <c r="CK20" s="21"/>
      <c r="CL20" s="20" t="s">
        <v>186</v>
      </c>
      <c r="CM20" s="10">
        <v>38720</v>
      </c>
      <c r="CN20" s="11"/>
      <c r="CO20" s="24"/>
      <c r="CP20" s="72">
        <v>564560</v>
      </c>
      <c r="CQ20" s="24"/>
      <c r="CR20" s="9">
        <v>2000</v>
      </c>
      <c r="CS20" s="9">
        <v>4500</v>
      </c>
      <c r="CT20" s="9">
        <v>7500</v>
      </c>
      <c r="CU20" s="9"/>
      <c r="CV20" s="9"/>
      <c r="CW20" s="9"/>
      <c r="CX20" s="9"/>
      <c r="CY20" s="9"/>
      <c r="CZ20" s="11"/>
      <c r="DA20" s="68">
        <v>3600</v>
      </c>
      <c r="DB20" s="10"/>
      <c r="DC20" s="10"/>
      <c r="DD20" s="10"/>
      <c r="DE20" s="10"/>
      <c r="DF20" s="68">
        <v>8500</v>
      </c>
      <c r="DG20" s="21"/>
      <c r="DH20" s="20"/>
      <c r="DI20" s="10"/>
      <c r="DJ20" s="11"/>
      <c r="DK20" s="24"/>
      <c r="DL20" s="72">
        <v>10600</v>
      </c>
    </row>
    <row r="21" ht="15" customHeight="1" spans="1:116">
      <c r="A21" s="9">
        <v>1200</v>
      </c>
      <c r="B21" s="9">
        <v>3500</v>
      </c>
      <c r="C21" s="9">
        <v>3000</v>
      </c>
      <c r="D21" s="9">
        <v>4000</v>
      </c>
      <c r="E21" s="9">
        <v>8000</v>
      </c>
      <c r="F21" s="9">
        <v>4000</v>
      </c>
      <c r="G21" s="9">
        <v>60000</v>
      </c>
      <c r="H21" s="9">
        <v>2000</v>
      </c>
      <c r="I21" s="9"/>
      <c r="J21" s="11"/>
      <c r="K21" s="68">
        <v>2300</v>
      </c>
      <c r="L21" s="68">
        <v>4320</v>
      </c>
      <c r="M21" s="68">
        <v>12000</v>
      </c>
      <c r="N21" s="10">
        <v>2500</v>
      </c>
      <c r="O21" s="10">
        <v>2000</v>
      </c>
      <c r="P21" s="10">
        <v>1500</v>
      </c>
      <c r="Q21" s="10">
        <v>16000</v>
      </c>
      <c r="R21" s="21"/>
      <c r="S21" s="20"/>
      <c r="T21" s="10"/>
      <c r="U21" s="11"/>
      <c r="V21" s="24"/>
      <c r="W21" s="72">
        <v>12000</v>
      </c>
      <c r="X21" s="24"/>
      <c r="Y21" s="9">
        <v>5500</v>
      </c>
      <c r="Z21" s="9">
        <v>2400</v>
      </c>
      <c r="AA21" s="9">
        <v>2000</v>
      </c>
      <c r="AB21" s="9">
        <v>10000</v>
      </c>
      <c r="AC21" s="9">
        <v>3500</v>
      </c>
      <c r="AD21" s="9">
        <v>21000</v>
      </c>
      <c r="AE21" s="9">
        <v>12000</v>
      </c>
      <c r="AF21" s="9">
        <v>5500</v>
      </c>
      <c r="AG21" s="9"/>
      <c r="AH21" s="11"/>
      <c r="AI21" s="68">
        <v>3360</v>
      </c>
      <c r="AJ21" s="68">
        <v>10500</v>
      </c>
      <c r="AK21" s="68">
        <v>1940</v>
      </c>
      <c r="AL21" s="68">
        <v>69500</v>
      </c>
      <c r="AM21" s="68">
        <v>8000</v>
      </c>
      <c r="AN21" s="10"/>
      <c r="AO21" s="21"/>
      <c r="AP21" s="20"/>
      <c r="AQ21" s="10"/>
      <c r="AR21" s="11"/>
      <c r="AS21" s="24"/>
      <c r="AT21" s="72">
        <v>248500</v>
      </c>
      <c r="AV21" s="9">
        <v>6500</v>
      </c>
      <c r="AW21" s="9">
        <v>22500</v>
      </c>
      <c r="AX21" s="9">
        <v>26000</v>
      </c>
      <c r="AY21" s="9">
        <v>10500</v>
      </c>
      <c r="AZ21" s="9">
        <v>3500</v>
      </c>
      <c r="BA21" s="9">
        <v>8000</v>
      </c>
      <c r="BB21" s="9">
        <v>20000</v>
      </c>
      <c r="BC21" s="9">
        <v>10000</v>
      </c>
      <c r="BD21" s="9"/>
      <c r="BE21" s="11"/>
      <c r="BF21" s="68">
        <v>5770</v>
      </c>
      <c r="BG21" s="68">
        <v>2880</v>
      </c>
      <c r="BH21" s="68">
        <v>7680</v>
      </c>
      <c r="BI21" s="10"/>
      <c r="BJ21" s="10">
        <v>4500</v>
      </c>
      <c r="BK21" s="10">
        <v>3000</v>
      </c>
      <c r="BL21" s="10">
        <v>2000</v>
      </c>
      <c r="BM21" s="9"/>
      <c r="BN21" s="21"/>
      <c r="BO21" s="20"/>
      <c r="BP21" s="10"/>
      <c r="BQ21" s="11"/>
      <c r="BR21" s="24"/>
      <c r="BS21" s="72">
        <v>10600</v>
      </c>
      <c r="BU21" s="9">
        <v>4500</v>
      </c>
      <c r="BV21" s="9">
        <v>900</v>
      </c>
      <c r="BW21" s="9">
        <v>40000</v>
      </c>
      <c r="BX21" s="9">
        <v>3300</v>
      </c>
      <c r="BY21" s="9">
        <v>10000</v>
      </c>
      <c r="BZ21" s="9">
        <v>8400</v>
      </c>
      <c r="CA21" s="9">
        <v>2000</v>
      </c>
      <c r="CB21" s="9">
        <v>25000</v>
      </c>
      <c r="CC21" s="9"/>
      <c r="CD21" s="11"/>
      <c r="CE21" s="68">
        <v>10000</v>
      </c>
      <c r="CF21" s="68">
        <v>7640</v>
      </c>
      <c r="CG21" s="68">
        <v>28340</v>
      </c>
      <c r="CH21" s="68">
        <v>5000</v>
      </c>
      <c r="CI21" s="68">
        <v>4000</v>
      </c>
      <c r="CJ21" s="68">
        <v>7700</v>
      </c>
      <c r="CK21" s="21"/>
      <c r="CL21" s="20"/>
      <c r="CM21" s="10"/>
      <c r="CN21" s="11"/>
      <c r="CO21" s="24"/>
      <c r="CP21" s="72">
        <v>39000</v>
      </c>
      <c r="CQ21" s="24"/>
      <c r="CR21" s="9">
        <v>10000</v>
      </c>
      <c r="CS21" s="9">
        <v>3000</v>
      </c>
      <c r="CT21" s="9">
        <v>1500</v>
      </c>
      <c r="CU21" s="9"/>
      <c r="CV21" s="9"/>
      <c r="CW21" s="9"/>
      <c r="CX21" s="9"/>
      <c r="CY21" s="9"/>
      <c r="CZ21" s="11"/>
      <c r="DA21" s="68">
        <v>24000</v>
      </c>
      <c r="DB21" s="10"/>
      <c r="DC21" s="10"/>
      <c r="DD21" s="10"/>
      <c r="DE21" s="10"/>
      <c r="DF21" s="68">
        <v>2400</v>
      </c>
      <c r="DG21" s="21"/>
      <c r="DH21" s="20"/>
      <c r="DI21" s="10"/>
      <c r="DJ21" s="11"/>
      <c r="DK21" s="24"/>
      <c r="DL21" s="72">
        <v>12000</v>
      </c>
    </row>
    <row r="22" ht="15.75" customHeight="1" spans="1:116">
      <c r="A22" s="9">
        <v>9500</v>
      </c>
      <c r="B22" s="9">
        <v>2500</v>
      </c>
      <c r="C22" s="9">
        <v>500</v>
      </c>
      <c r="D22" s="9">
        <v>800</v>
      </c>
      <c r="E22" s="9">
        <v>6000</v>
      </c>
      <c r="F22" s="9">
        <v>4500</v>
      </c>
      <c r="G22" s="9">
        <v>4200</v>
      </c>
      <c r="H22" s="9">
        <v>4000</v>
      </c>
      <c r="I22" s="9"/>
      <c r="J22" s="11"/>
      <c r="K22" s="68">
        <v>1200</v>
      </c>
      <c r="L22" s="68">
        <v>24980</v>
      </c>
      <c r="M22" s="68">
        <v>4000</v>
      </c>
      <c r="N22" s="10">
        <v>8500</v>
      </c>
      <c r="O22" s="10">
        <v>7000</v>
      </c>
      <c r="P22" s="10">
        <v>33000</v>
      </c>
      <c r="Q22" s="10">
        <v>12000</v>
      </c>
      <c r="R22" s="21"/>
      <c r="S22" s="20"/>
      <c r="T22" s="10"/>
      <c r="U22" s="11"/>
      <c r="V22" s="24"/>
      <c r="W22" s="72">
        <v>266210</v>
      </c>
      <c r="X22" s="24"/>
      <c r="Y22" s="9">
        <v>4500</v>
      </c>
      <c r="Z22" s="9">
        <v>4500</v>
      </c>
      <c r="AA22" s="9">
        <v>2500</v>
      </c>
      <c r="AB22" s="9">
        <v>1000</v>
      </c>
      <c r="AC22" s="9">
        <v>4000</v>
      </c>
      <c r="AD22" s="9">
        <v>5000</v>
      </c>
      <c r="AE22" s="9">
        <v>5000</v>
      </c>
      <c r="AF22" s="9">
        <v>4000</v>
      </c>
      <c r="AG22" s="9"/>
      <c r="AH22" s="11"/>
      <c r="AI22" s="68">
        <v>770</v>
      </c>
      <c r="AJ22" s="68">
        <v>6000</v>
      </c>
      <c r="AK22" s="68">
        <v>7690</v>
      </c>
      <c r="AL22" s="68">
        <v>30000</v>
      </c>
      <c r="AM22" s="68">
        <v>3300</v>
      </c>
      <c r="AN22" s="10"/>
      <c r="AO22" s="21"/>
      <c r="AP22" s="20"/>
      <c r="AQ22" s="10"/>
      <c r="AR22" s="11"/>
      <c r="AS22" s="24"/>
      <c r="AT22" s="72">
        <v>10000</v>
      </c>
      <c r="AV22" s="9">
        <v>7500</v>
      </c>
      <c r="AW22" s="9">
        <v>1000</v>
      </c>
      <c r="AX22" s="9">
        <v>4500</v>
      </c>
      <c r="AY22" s="9">
        <v>7000</v>
      </c>
      <c r="AZ22" s="9">
        <v>2000</v>
      </c>
      <c r="BA22" s="9">
        <v>10000</v>
      </c>
      <c r="BB22" s="9">
        <v>14000</v>
      </c>
      <c r="BC22" s="9">
        <v>7500</v>
      </c>
      <c r="BD22" s="9"/>
      <c r="BE22" s="11"/>
      <c r="BF22" s="68">
        <v>28520</v>
      </c>
      <c r="BG22" s="68">
        <v>44000</v>
      </c>
      <c r="BH22" s="68">
        <v>3840</v>
      </c>
      <c r="BI22" s="10"/>
      <c r="BJ22" s="10">
        <v>101600</v>
      </c>
      <c r="BK22" s="10">
        <v>1000</v>
      </c>
      <c r="BL22" s="10">
        <v>9000</v>
      </c>
      <c r="BM22" s="9"/>
      <c r="BN22" s="21"/>
      <c r="BO22" s="20"/>
      <c r="BP22" s="10"/>
      <c r="BQ22" s="11"/>
      <c r="BR22" s="24"/>
      <c r="BS22" s="72">
        <v>17500</v>
      </c>
      <c r="BU22" s="9">
        <v>24000</v>
      </c>
      <c r="BV22" s="9">
        <v>450</v>
      </c>
      <c r="BW22" s="9">
        <v>8000</v>
      </c>
      <c r="BX22" s="9">
        <v>7500</v>
      </c>
      <c r="BY22" s="9">
        <v>10000</v>
      </c>
      <c r="BZ22" s="9">
        <v>9000</v>
      </c>
      <c r="CA22" s="9">
        <v>22800</v>
      </c>
      <c r="CB22" s="9">
        <v>2500</v>
      </c>
      <c r="CC22" s="9"/>
      <c r="CD22" s="11"/>
      <c r="CE22" s="68">
        <v>400</v>
      </c>
      <c r="CF22" s="68">
        <v>5000</v>
      </c>
      <c r="CG22" s="68">
        <v>11530</v>
      </c>
      <c r="CH22" s="68">
        <v>5500</v>
      </c>
      <c r="CI22" s="68">
        <v>6000</v>
      </c>
      <c r="CJ22" s="68">
        <v>4000</v>
      </c>
      <c r="CK22" s="21"/>
      <c r="CL22" s="20"/>
      <c r="CM22" s="10"/>
      <c r="CN22" s="11"/>
      <c r="CO22" s="24"/>
      <c r="CP22" s="72">
        <v>10600</v>
      </c>
      <c r="CQ22" s="24"/>
      <c r="CR22" s="9">
        <v>19500</v>
      </c>
      <c r="CS22" s="9">
        <v>2000</v>
      </c>
      <c r="CT22" s="9">
        <v>5000</v>
      </c>
      <c r="CU22" s="9"/>
      <c r="CV22" s="9"/>
      <c r="CW22" s="9"/>
      <c r="CX22" s="9"/>
      <c r="CY22" s="9"/>
      <c r="CZ22" s="11"/>
      <c r="DA22" s="68">
        <v>11050</v>
      </c>
      <c r="DB22" s="10"/>
      <c r="DC22" s="10"/>
      <c r="DD22" s="10"/>
      <c r="DE22" s="10"/>
      <c r="DF22" s="68">
        <v>7000</v>
      </c>
      <c r="DG22" s="21"/>
      <c r="DH22" s="20"/>
      <c r="DI22" s="10"/>
      <c r="DJ22" s="11"/>
      <c r="DK22" s="24"/>
      <c r="DL22" s="72">
        <v>156600</v>
      </c>
    </row>
    <row r="23" spans="1:116">
      <c r="A23" s="9">
        <v>12500</v>
      </c>
      <c r="B23" s="9">
        <v>7000</v>
      </c>
      <c r="C23" s="9">
        <v>2500</v>
      </c>
      <c r="D23" s="9">
        <v>5500</v>
      </c>
      <c r="E23" s="9">
        <v>12300</v>
      </c>
      <c r="F23" s="9">
        <v>8000</v>
      </c>
      <c r="G23" s="9">
        <v>1000</v>
      </c>
      <c r="H23" s="9">
        <v>3500</v>
      </c>
      <c r="I23" s="9"/>
      <c r="J23" s="11"/>
      <c r="K23" s="68">
        <v>41100</v>
      </c>
      <c r="L23" s="68">
        <v>10000</v>
      </c>
      <c r="M23" s="10"/>
      <c r="N23" s="10">
        <v>46600</v>
      </c>
      <c r="O23" s="10">
        <v>4000</v>
      </c>
      <c r="P23" s="10"/>
      <c r="Q23" s="10">
        <v>2800</v>
      </c>
      <c r="R23" s="21"/>
      <c r="S23" s="20"/>
      <c r="T23" s="10"/>
      <c r="U23" s="11"/>
      <c r="V23" s="24"/>
      <c r="W23" s="72">
        <v>558500</v>
      </c>
      <c r="X23" s="24"/>
      <c r="Y23" s="9">
        <v>36000</v>
      </c>
      <c r="Z23" s="9">
        <v>60000</v>
      </c>
      <c r="AA23" s="9">
        <v>1500</v>
      </c>
      <c r="AB23" s="9">
        <v>6000</v>
      </c>
      <c r="AC23" s="9">
        <v>4000</v>
      </c>
      <c r="AD23" s="9">
        <v>3500</v>
      </c>
      <c r="AE23" s="9">
        <v>3500</v>
      </c>
      <c r="AF23" s="9">
        <v>6000</v>
      </c>
      <c r="AG23" s="9"/>
      <c r="AH23" s="11"/>
      <c r="AI23" s="68">
        <v>9130</v>
      </c>
      <c r="AJ23" s="68">
        <v>5080</v>
      </c>
      <c r="AK23" s="68">
        <v>7300</v>
      </c>
      <c r="AL23" s="68">
        <v>4500</v>
      </c>
      <c r="AM23" s="68">
        <v>35500</v>
      </c>
      <c r="AN23" s="10"/>
      <c r="AO23" s="21"/>
      <c r="AP23" s="20"/>
      <c r="AQ23" s="10"/>
      <c r="AR23" s="11"/>
      <c r="AS23" s="24"/>
      <c r="AT23" s="72">
        <v>10000</v>
      </c>
      <c r="AV23" s="9">
        <v>1500</v>
      </c>
      <c r="AW23" s="9">
        <v>3500</v>
      </c>
      <c r="AX23" s="9">
        <v>3500</v>
      </c>
      <c r="AY23" s="9">
        <v>21800</v>
      </c>
      <c r="AZ23" s="9">
        <v>1600</v>
      </c>
      <c r="BA23" s="9">
        <v>6500</v>
      </c>
      <c r="BB23" s="9">
        <v>2000</v>
      </c>
      <c r="BC23" s="9">
        <v>49500</v>
      </c>
      <c r="BD23" s="9"/>
      <c r="BE23" s="11"/>
      <c r="BF23" s="68">
        <v>14410</v>
      </c>
      <c r="BG23" s="68">
        <v>8640</v>
      </c>
      <c r="BH23" s="68">
        <v>8500</v>
      </c>
      <c r="BI23" s="10"/>
      <c r="BJ23" s="10">
        <v>10200</v>
      </c>
      <c r="BK23" s="10">
        <v>22000</v>
      </c>
      <c r="BL23" s="10">
        <v>2000</v>
      </c>
      <c r="BM23" s="9"/>
      <c r="BN23" s="21"/>
      <c r="BO23" s="20"/>
      <c r="BP23" s="10"/>
      <c r="BQ23" s="11"/>
      <c r="BR23" s="24"/>
      <c r="BS23" s="72">
        <v>10000</v>
      </c>
      <c r="BU23" s="9">
        <v>4500</v>
      </c>
      <c r="BV23" s="9">
        <v>3500</v>
      </c>
      <c r="BW23" s="9">
        <v>500</v>
      </c>
      <c r="BX23" s="9">
        <v>14500</v>
      </c>
      <c r="BY23" s="9">
        <v>1200</v>
      </c>
      <c r="BZ23" s="9">
        <v>5000</v>
      </c>
      <c r="CA23" s="9">
        <v>19500</v>
      </c>
      <c r="CB23" s="9">
        <v>2500</v>
      </c>
      <c r="CC23" s="9"/>
      <c r="CD23" s="11"/>
      <c r="CE23" s="68">
        <v>5280</v>
      </c>
      <c r="CF23" s="68">
        <v>14980</v>
      </c>
      <c r="CG23" s="68">
        <v>4450</v>
      </c>
      <c r="CH23" s="68">
        <v>39000</v>
      </c>
      <c r="CI23" s="68">
        <v>7000</v>
      </c>
      <c r="CJ23" s="68">
        <v>2500</v>
      </c>
      <c r="CK23" s="21"/>
      <c r="CL23" s="20"/>
      <c r="CM23" s="10"/>
      <c r="CN23" s="11"/>
      <c r="CO23" s="24"/>
      <c r="CP23" s="72">
        <v>10000</v>
      </c>
      <c r="CQ23" s="24"/>
      <c r="CR23" s="9">
        <v>17500</v>
      </c>
      <c r="CS23" s="9">
        <v>2500</v>
      </c>
      <c r="CT23" s="9">
        <v>7000</v>
      </c>
      <c r="CU23" s="9"/>
      <c r="CV23" s="9"/>
      <c r="CW23" s="9"/>
      <c r="CX23" s="9"/>
      <c r="CY23" s="9"/>
      <c r="CZ23" s="11"/>
      <c r="DA23" s="68">
        <v>9120</v>
      </c>
      <c r="DB23" s="10"/>
      <c r="DC23" s="10"/>
      <c r="DD23" s="10"/>
      <c r="DE23" s="10"/>
      <c r="DF23" s="68">
        <v>5000</v>
      </c>
      <c r="DG23" s="21"/>
      <c r="DH23" s="20"/>
      <c r="DI23" s="10"/>
      <c r="DJ23" s="11"/>
      <c r="DK23" s="24"/>
      <c r="DL23" s="72"/>
    </row>
    <row r="24" spans="1:116">
      <c r="A24" s="9">
        <v>5000</v>
      </c>
      <c r="B24" s="9">
        <v>5000</v>
      </c>
      <c r="C24" s="9">
        <v>3500</v>
      </c>
      <c r="D24" s="9">
        <v>5000</v>
      </c>
      <c r="E24" s="9">
        <v>3200</v>
      </c>
      <c r="F24" s="9">
        <v>17000</v>
      </c>
      <c r="G24" s="9">
        <v>9000</v>
      </c>
      <c r="H24" s="9">
        <v>4000</v>
      </c>
      <c r="I24" s="9"/>
      <c r="J24" s="11"/>
      <c r="K24" s="68">
        <v>5280</v>
      </c>
      <c r="L24" s="68">
        <v>8000</v>
      </c>
      <c r="M24" s="10"/>
      <c r="N24" s="10">
        <v>12500</v>
      </c>
      <c r="O24" s="10">
        <v>6000</v>
      </c>
      <c r="P24" s="10"/>
      <c r="Q24" s="10">
        <v>6000</v>
      </c>
      <c r="R24" s="21"/>
      <c r="S24" s="20"/>
      <c r="T24" s="10"/>
      <c r="U24" s="11"/>
      <c r="V24" s="24"/>
      <c r="W24" s="72">
        <v>4000</v>
      </c>
      <c r="X24" s="24"/>
      <c r="Y24" s="9">
        <v>2500</v>
      </c>
      <c r="Z24" s="9">
        <v>1000</v>
      </c>
      <c r="AA24" s="9">
        <v>8000</v>
      </c>
      <c r="AB24" s="9">
        <v>1500</v>
      </c>
      <c r="AC24" s="9">
        <v>3000</v>
      </c>
      <c r="AD24" s="9">
        <v>1000</v>
      </c>
      <c r="AE24" s="9">
        <v>1600</v>
      </c>
      <c r="AF24" s="9">
        <v>35000</v>
      </c>
      <c r="AG24" s="9"/>
      <c r="AH24" s="11"/>
      <c r="AI24" s="68">
        <v>17300</v>
      </c>
      <c r="AJ24" s="68">
        <v>22360</v>
      </c>
      <c r="AK24" s="68">
        <v>5500</v>
      </c>
      <c r="AL24" s="68">
        <v>14840</v>
      </c>
      <c r="AM24" s="68">
        <v>3000</v>
      </c>
      <c r="AN24" s="10"/>
      <c r="AO24" s="21"/>
      <c r="AP24" s="20"/>
      <c r="AQ24" s="10"/>
      <c r="AR24" s="11"/>
      <c r="AS24" s="24"/>
      <c r="AT24" s="72">
        <v>10600</v>
      </c>
      <c r="AV24" s="9">
        <v>5000</v>
      </c>
      <c r="AW24" s="9">
        <v>15000</v>
      </c>
      <c r="AX24" s="9">
        <v>18000</v>
      </c>
      <c r="AY24" s="9">
        <v>5500</v>
      </c>
      <c r="AZ24" s="9">
        <v>3000</v>
      </c>
      <c r="BA24" s="9">
        <v>1000</v>
      </c>
      <c r="BB24" s="9">
        <v>1500</v>
      </c>
      <c r="BC24" s="9">
        <v>5200</v>
      </c>
      <c r="BD24" s="9"/>
      <c r="BE24" s="11"/>
      <c r="BF24" s="68">
        <v>7200</v>
      </c>
      <c r="BG24" s="68">
        <v>5760</v>
      </c>
      <c r="BH24" s="68">
        <v>1800</v>
      </c>
      <c r="BI24" s="10"/>
      <c r="BJ24" s="10">
        <v>6800</v>
      </c>
      <c r="BK24" s="10">
        <v>32000</v>
      </c>
      <c r="BL24" s="10">
        <v>19000</v>
      </c>
      <c r="BM24" s="9"/>
      <c r="BN24" s="21"/>
      <c r="BO24" s="20"/>
      <c r="BP24" s="10"/>
      <c r="BQ24" s="11"/>
      <c r="BR24" s="24"/>
      <c r="BS24" s="72">
        <v>16250</v>
      </c>
      <c r="BU24" s="9">
        <v>1000</v>
      </c>
      <c r="BV24" s="9">
        <v>800</v>
      </c>
      <c r="BW24" s="9">
        <v>6000</v>
      </c>
      <c r="BX24" s="9">
        <v>12500</v>
      </c>
      <c r="BY24" s="9">
        <v>4000</v>
      </c>
      <c r="BZ24" s="9">
        <v>5000</v>
      </c>
      <c r="CA24" s="9">
        <v>5800</v>
      </c>
      <c r="CB24" s="9">
        <v>1500</v>
      </c>
      <c r="CC24" s="9"/>
      <c r="CD24" s="11"/>
      <c r="CE24" s="68">
        <v>3840</v>
      </c>
      <c r="CF24" s="68">
        <v>6000</v>
      </c>
      <c r="CG24" s="68">
        <v>155000</v>
      </c>
      <c r="CH24" s="68">
        <v>5500</v>
      </c>
      <c r="CI24" s="68">
        <v>2000</v>
      </c>
      <c r="CJ24" s="68">
        <v>15000</v>
      </c>
      <c r="CK24" s="21"/>
      <c r="CL24" s="20"/>
      <c r="CM24" s="10"/>
      <c r="CN24" s="11"/>
      <c r="CO24" s="24"/>
      <c r="CP24" s="72">
        <v>10000</v>
      </c>
      <c r="CQ24" s="24"/>
      <c r="CR24" s="9">
        <v>5000</v>
      </c>
      <c r="CS24" s="9">
        <v>4250</v>
      </c>
      <c r="CT24" s="9">
        <v>3000</v>
      </c>
      <c r="CU24" s="9"/>
      <c r="CV24" s="9"/>
      <c r="CW24" s="9"/>
      <c r="CX24" s="9"/>
      <c r="CY24" s="9"/>
      <c r="CZ24" s="11"/>
      <c r="DA24" s="68">
        <v>2000</v>
      </c>
      <c r="DB24" s="10"/>
      <c r="DC24" s="10"/>
      <c r="DD24" s="10"/>
      <c r="DE24" s="10"/>
      <c r="DF24" s="68">
        <v>5000</v>
      </c>
      <c r="DG24" s="21"/>
      <c r="DH24" s="20"/>
      <c r="DI24" s="10"/>
      <c r="DJ24" s="11"/>
      <c r="DK24" s="24"/>
      <c r="DL24" s="72"/>
    </row>
    <row r="25" spans="1:116">
      <c r="A25" s="9">
        <v>1000</v>
      </c>
      <c r="B25" s="9">
        <v>4000</v>
      </c>
      <c r="C25" s="9">
        <v>1500</v>
      </c>
      <c r="D25" s="9">
        <v>16500</v>
      </c>
      <c r="E25" s="9">
        <v>1000</v>
      </c>
      <c r="F25" s="9">
        <v>4000</v>
      </c>
      <c r="G25" s="9">
        <v>12500</v>
      </c>
      <c r="H25" s="9">
        <v>7000</v>
      </c>
      <c r="I25" s="9"/>
      <c r="J25" s="11"/>
      <c r="K25" s="68">
        <v>17300</v>
      </c>
      <c r="L25" s="68">
        <v>53000</v>
      </c>
      <c r="M25" s="10"/>
      <c r="N25" s="10">
        <v>7000</v>
      </c>
      <c r="O25" s="10">
        <v>4000</v>
      </c>
      <c r="P25" s="10"/>
      <c r="Q25" s="10">
        <v>300</v>
      </c>
      <c r="R25" s="21"/>
      <c r="S25" s="20"/>
      <c r="T25" s="10"/>
      <c r="U25" s="11"/>
      <c r="V25" s="24"/>
      <c r="W25" s="72">
        <v>400000</v>
      </c>
      <c r="X25" s="24"/>
      <c r="Y25" s="9">
        <v>300</v>
      </c>
      <c r="Z25" s="9">
        <v>6000</v>
      </c>
      <c r="AA25" s="9">
        <v>6500</v>
      </c>
      <c r="AB25" s="9">
        <v>18000</v>
      </c>
      <c r="AC25" s="9">
        <v>11800</v>
      </c>
      <c r="AD25" s="9">
        <v>3000</v>
      </c>
      <c r="AE25" s="9">
        <v>28000</v>
      </c>
      <c r="AF25" s="9">
        <v>3500</v>
      </c>
      <c r="AG25" s="9"/>
      <c r="AH25" s="11"/>
      <c r="AI25" s="68">
        <v>9900</v>
      </c>
      <c r="AJ25" s="68">
        <v>10560</v>
      </c>
      <c r="AK25" s="68">
        <v>15450</v>
      </c>
      <c r="AL25" s="68">
        <v>3500</v>
      </c>
      <c r="AM25" s="68">
        <v>31000</v>
      </c>
      <c r="AN25" s="10"/>
      <c r="AO25" s="21"/>
      <c r="AP25" s="20"/>
      <c r="AQ25" s="10"/>
      <c r="AR25" s="11"/>
      <c r="AS25" s="24"/>
      <c r="AT25" s="72">
        <v>200000</v>
      </c>
      <c r="AV25" s="9">
        <v>4100</v>
      </c>
      <c r="AW25" s="9">
        <v>46000</v>
      </c>
      <c r="AX25" s="9">
        <v>4500</v>
      </c>
      <c r="AY25" s="9">
        <v>1500</v>
      </c>
      <c r="AZ25" s="9">
        <v>20000</v>
      </c>
      <c r="BA25" s="9">
        <v>28000</v>
      </c>
      <c r="BB25" s="9">
        <v>13000</v>
      </c>
      <c r="BC25" s="9">
        <v>3500</v>
      </c>
      <c r="BD25" s="9"/>
      <c r="BE25" s="11"/>
      <c r="BF25" s="68">
        <v>5280</v>
      </c>
      <c r="BG25" s="68">
        <v>5530</v>
      </c>
      <c r="BH25" s="68">
        <v>9000</v>
      </c>
      <c r="BI25" s="10"/>
      <c r="BJ25" s="10">
        <v>3000</v>
      </c>
      <c r="BK25" s="10">
        <v>6500</v>
      </c>
      <c r="BL25" s="10">
        <v>37300</v>
      </c>
      <c r="BM25" s="9"/>
      <c r="BN25" s="21"/>
      <c r="BO25" s="20"/>
      <c r="BP25" s="10"/>
      <c r="BQ25" s="11"/>
      <c r="BR25" s="24"/>
      <c r="BS25" s="72">
        <v>10000</v>
      </c>
      <c r="BU25" s="9">
        <v>6000</v>
      </c>
      <c r="BV25" s="9">
        <v>1000</v>
      </c>
      <c r="BW25" s="9">
        <v>2000</v>
      </c>
      <c r="BX25" s="9">
        <v>2000</v>
      </c>
      <c r="BY25" s="9">
        <v>9200</v>
      </c>
      <c r="BZ25" s="9">
        <v>3000</v>
      </c>
      <c r="CA25" s="9">
        <v>65000</v>
      </c>
      <c r="CB25" s="9">
        <v>500</v>
      </c>
      <c r="CC25" s="9"/>
      <c r="CD25" s="11"/>
      <c r="CE25" s="68">
        <v>4000</v>
      </c>
      <c r="CF25" s="68">
        <v>7200</v>
      </c>
      <c r="CG25" s="68">
        <v>7220</v>
      </c>
      <c r="CH25" s="68">
        <v>35000</v>
      </c>
      <c r="CI25" s="68">
        <v>5000</v>
      </c>
      <c r="CJ25" s="68">
        <v>3300</v>
      </c>
      <c r="CK25" s="21"/>
      <c r="CL25" s="20"/>
      <c r="CM25" s="10"/>
      <c r="CN25" s="11"/>
      <c r="CO25" s="24"/>
      <c r="CP25" s="72">
        <v>4000</v>
      </c>
      <c r="CQ25" s="24"/>
      <c r="CR25" s="9">
        <v>11500</v>
      </c>
      <c r="CS25" s="9">
        <v>2000</v>
      </c>
      <c r="CT25" s="9">
        <v>1200</v>
      </c>
      <c r="CU25" s="9"/>
      <c r="CV25" s="9"/>
      <c r="CW25" s="9"/>
      <c r="CX25" s="9"/>
      <c r="CY25" s="9"/>
      <c r="CZ25" s="11"/>
      <c r="DA25" s="68">
        <v>50000</v>
      </c>
      <c r="DB25" s="10"/>
      <c r="DC25" s="10"/>
      <c r="DD25" s="10"/>
      <c r="DE25" s="10"/>
      <c r="DF25" s="68">
        <v>1200</v>
      </c>
      <c r="DG25" s="21"/>
      <c r="DH25" s="20"/>
      <c r="DI25" s="10"/>
      <c r="DJ25" s="11"/>
      <c r="DK25" s="24"/>
      <c r="DL25" s="72"/>
    </row>
    <row r="26" spans="1:116">
      <c r="A26" s="9">
        <v>121000</v>
      </c>
      <c r="B26" s="9">
        <v>2500</v>
      </c>
      <c r="C26" s="9">
        <v>6500</v>
      </c>
      <c r="D26" s="9">
        <v>1000</v>
      </c>
      <c r="E26" s="9">
        <v>14000</v>
      </c>
      <c r="F26" s="9">
        <v>10500</v>
      </c>
      <c r="G26" s="9">
        <v>21000</v>
      </c>
      <c r="H26" s="9">
        <v>600</v>
      </c>
      <c r="I26" s="9"/>
      <c r="J26" s="11"/>
      <c r="K26" s="68">
        <v>3840</v>
      </c>
      <c r="L26" s="68">
        <v>39500</v>
      </c>
      <c r="M26" s="10"/>
      <c r="N26" s="10">
        <v>2500</v>
      </c>
      <c r="O26" s="10">
        <v>600</v>
      </c>
      <c r="P26" s="10"/>
      <c r="Q26" s="10">
        <v>6000</v>
      </c>
      <c r="R26" s="21"/>
      <c r="S26" s="20"/>
      <c r="T26" s="10"/>
      <c r="U26" s="11"/>
      <c r="V26" s="24"/>
      <c r="W26" s="72">
        <v>12000</v>
      </c>
      <c r="X26" s="24"/>
      <c r="Y26" s="9">
        <v>1600</v>
      </c>
      <c r="Z26" s="9">
        <v>10000</v>
      </c>
      <c r="AA26" s="9">
        <v>2500</v>
      </c>
      <c r="AB26" s="9">
        <v>4000</v>
      </c>
      <c r="AC26" s="9">
        <v>500</v>
      </c>
      <c r="AD26" s="9">
        <v>400</v>
      </c>
      <c r="AE26" s="9">
        <v>3500</v>
      </c>
      <c r="AF26" s="9">
        <v>5000</v>
      </c>
      <c r="AG26" s="9"/>
      <c r="AH26" s="11"/>
      <c r="AI26" s="68">
        <v>9600</v>
      </c>
      <c r="AJ26" s="68">
        <v>8640</v>
      </c>
      <c r="AK26" s="68">
        <v>8000</v>
      </c>
      <c r="AL26" s="68">
        <v>4500</v>
      </c>
      <c r="AM26" s="68">
        <v>33000</v>
      </c>
      <c r="AN26" s="10"/>
      <c r="AO26" s="21"/>
      <c r="AP26" s="20"/>
      <c r="AQ26" s="10"/>
      <c r="AR26" s="11"/>
      <c r="AS26" s="24"/>
      <c r="AT26" s="72">
        <v>10000</v>
      </c>
      <c r="AV26" s="9">
        <v>31000</v>
      </c>
      <c r="AW26" s="9">
        <v>20000</v>
      </c>
      <c r="AX26" s="9">
        <v>4000</v>
      </c>
      <c r="AY26" s="9">
        <v>500</v>
      </c>
      <c r="AZ26" s="9">
        <v>45000</v>
      </c>
      <c r="BA26" s="9">
        <v>7500</v>
      </c>
      <c r="BB26" s="9">
        <v>3000</v>
      </c>
      <c r="BC26" s="9">
        <v>10000</v>
      </c>
      <c r="BD26" s="9"/>
      <c r="BE26" s="11"/>
      <c r="BF26" s="68">
        <v>13930</v>
      </c>
      <c r="BG26" s="68">
        <v>24500</v>
      </c>
      <c r="BH26" s="68">
        <v>700</v>
      </c>
      <c r="BI26" s="10"/>
      <c r="BJ26" s="10">
        <v>5700</v>
      </c>
      <c r="BK26" s="10">
        <v>1000</v>
      </c>
      <c r="BL26" s="10">
        <v>15000</v>
      </c>
      <c r="BM26" s="9"/>
      <c r="BN26" s="21"/>
      <c r="BO26" s="20"/>
      <c r="BP26" s="10"/>
      <c r="BQ26" s="11"/>
      <c r="BR26" s="24"/>
      <c r="BS26" s="72">
        <v>10600</v>
      </c>
      <c r="BU26" s="9">
        <v>16000</v>
      </c>
      <c r="BV26" s="9">
        <v>3500</v>
      </c>
      <c r="BW26" s="9">
        <v>10000</v>
      </c>
      <c r="BX26" s="9">
        <v>3900</v>
      </c>
      <c r="BY26" s="9">
        <v>54500</v>
      </c>
      <c r="BZ26" s="9">
        <v>11200</v>
      </c>
      <c r="CA26" s="9">
        <v>10000</v>
      </c>
      <c r="CB26" s="9">
        <v>3500</v>
      </c>
      <c r="CC26" s="9"/>
      <c r="CD26" s="11"/>
      <c r="CE26" s="68">
        <v>28970</v>
      </c>
      <c r="CF26" s="68">
        <v>7000</v>
      </c>
      <c r="CG26" s="68">
        <v>21810</v>
      </c>
      <c r="CH26" s="68">
        <v>6900</v>
      </c>
      <c r="CI26" s="68">
        <v>4250</v>
      </c>
      <c r="CJ26" s="68">
        <v>6000</v>
      </c>
      <c r="CK26" s="21"/>
      <c r="CL26" s="20"/>
      <c r="CM26" s="10"/>
      <c r="CN26" s="11"/>
      <c r="CO26" s="24"/>
      <c r="CP26" s="72">
        <v>6600</v>
      </c>
      <c r="CQ26" s="24"/>
      <c r="CR26" s="9">
        <v>2300</v>
      </c>
      <c r="CS26" s="9">
        <v>6500</v>
      </c>
      <c r="CT26" s="9">
        <v>24500</v>
      </c>
      <c r="CU26" s="9"/>
      <c r="CV26" s="9"/>
      <c r="CW26" s="9"/>
      <c r="CX26" s="9"/>
      <c r="CY26" s="9"/>
      <c r="CZ26" s="11"/>
      <c r="DA26" s="68">
        <v>37100</v>
      </c>
      <c r="DB26" s="10"/>
      <c r="DC26" s="10"/>
      <c r="DD26" s="10"/>
      <c r="DE26" s="10"/>
      <c r="DF26" s="68">
        <v>4500</v>
      </c>
      <c r="DG26" s="21"/>
      <c r="DH26" s="20"/>
      <c r="DI26" s="10"/>
      <c r="DJ26" s="11"/>
      <c r="DK26" s="24"/>
      <c r="DL26" s="72"/>
    </row>
    <row r="27" spans="1:116">
      <c r="A27" s="9">
        <v>4000</v>
      </c>
      <c r="B27" s="9">
        <v>5500</v>
      </c>
      <c r="C27" s="9">
        <v>500</v>
      </c>
      <c r="D27" s="9">
        <v>2000</v>
      </c>
      <c r="E27" s="9">
        <v>2000</v>
      </c>
      <c r="F27" s="9">
        <v>500</v>
      </c>
      <c r="G27" s="9">
        <v>37800</v>
      </c>
      <c r="H27" s="9">
        <v>4500</v>
      </c>
      <c r="I27" s="9"/>
      <c r="J27" s="11"/>
      <c r="K27" s="68">
        <v>9000</v>
      </c>
      <c r="L27" s="68">
        <v>2400</v>
      </c>
      <c r="M27" s="10"/>
      <c r="N27" s="10">
        <v>12000</v>
      </c>
      <c r="O27" s="10">
        <v>1000</v>
      </c>
      <c r="P27" s="10"/>
      <c r="Q27" s="10">
        <v>5100</v>
      </c>
      <c r="R27" s="21"/>
      <c r="S27" s="20"/>
      <c r="T27" s="10"/>
      <c r="U27" s="11"/>
      <c r="V27" s="24"/>
      <c r="W27" s="72">
        <v>10600</v>
      </c>
      <c r="X27" s="24"/>
      <c r="Y27" s="9">
        <v>4500</v>
      </c>
      <c r="Z27" s="9">
        <v>2000</v>
      </c>
      <c r="AA27" s="9">
        <v>3000</v>
      </c>
      <c r="AB27" s="9">
        <v>1800</v>
      </c>
      <c r="AC27" s="9">
        <v>1000</v>
      </c>
      <c r="AD27" s="9">
        <v>11500</v>
      </c>
      <c r="AE27" s="9">
        <v>6500</v>
      </c>
      <c r="AF27" s="9">
        <v>1600</v>
      </c>
      <c r="AG27" s="9"/>
      <c r="AH27" s="11"/>
      <c r="AI27" s="68">
        <v>300</v>
      </c>
      <c r="AJ27" s="68">
        <v>3840</v>
      </c>
      <c r="AK27" s="68">
        <v>7830</v>
      </c>
      <c r="AL27" s="68">
        <v>7500</v>
      </c>
      <c r="AM27" s="68">
        <v>4000</v>
      </c>
      <c r="AN27" s="10"/>
      <c r="AO27" s="21"/>
      <c r="AP27" s="20"/>
      <c r="AQ27" s="10"/>
      <c r="AR27" s="11"/>
      <c r="AS27" s="24"/>
      <c r="AT27" s="72">
        <v>800000</v>
      </c>
      <c r="AV27" s="9">
        <v>44000</v>
      </c>
      <c r="AW27" s="9">
        <v>6800</v>
      </c>
      <c r="AX27" s="9">
        <v>5000</v>
      </c>
      <c r="AY27" s="9">
        <v>5000</v>
      </c>
      <c r="AZ27" s="9">
        <v>4000</v>
      </c>
      <c r="BA27" s="9">
        <v>1500</v>
      </c>
      <c r="BB27" s="9">
        <v>8000</v>
      </c>
      <c r="BC27" s="9">
        <v>24500</v>
      </c>
      <c r="BD27" s="9"/>
      <c r="BE27" s="11"/>
      <c r="BF27" s="68">
        <v>10000</v>
      </c>
      <c r="BG27" s="68">
        <v>8640</v>
      </c>
      <c r="BH27" s="68">
        <v>1430</v>
      </c>
      <c r="BI27" s="10"/>
      <c r="BJ27" s="10">
        <v>3000</v>
      </c>
      <c r="BK27" s="10">
        <v>1700</v>
      </c>
      <c r="BL27" s="10">
        <v>3000</v>
      </c>
      <c r="BM27" s="9"/>
      <c r="BN27" s="21"/>
      <c r="BO27" s="20"/>
      <c r="BP27" s="10"/>
      <c r="BQ27" s="11"/>
      <c r="BR27" s="24"/>
      <c r="BS27" s="72">
        <v>42990</v>
      </c>
      <c r="BU27" s="9">
        <v>7300</v>
      </c>
      <c r="BV27" s="9">
        <v>4500</v>
      </c>
      <c r="BW27" s="9">
        <v>1500</v>
      </c>
      <c r="BX27" s="9">
        <v>1800</v>
      </c>
      <c r="BY27" s="9">
        <v>18500</v>
      </c>
      <c r="BZ27" s="9">
        <v>2400</v>
      </c>
      <c r="CA27" s="9">
        <v>4500</v>
      </c>
      <c r="CB27" s="9">
        <v>2000</v>
      </c>
      <c r="CC27" s="9"/>
      <c r="CD27" s="11"/>
      <c r="CE27" s="68">
        <v>8000</v>
      </c>
      <c r="CF27" s="68">
        <v>500</v>
      </c>
      <c r="CG27" s="68">
        <v>29000</v>
      </c>
      <c r="CH27" s="68">
        <v>35000</v>
      </c>
      <c r="CI27" s="68">
        <v>16500</v>
      </c>
      <c r="CJ27" s="68">
        <v>8000</v>
      </c>
      <c r="CK27" s="21"/>
      <c r="CL27" s="20"/>
      <c r="CM27" s="10"/>
      <c r="CN27" s="11"/>
      <c r="CO27" s="24"/>
      <c r="CP27" s="72">
        <v>71600</v>
      </c>
      <c r="CQ27" s="24"/>
      <c r="CR27" s="9">
        <v>4500</v>
      </c>
      <c r="CS27" s="9">
        <v>20000</v>
      </c>
      <c r="CT27" s="9">
        <v>3000</v>
      </c>
      <c r="CU27" s="9"/>
      <c r="CV27" s="9"/>
      <c r="CW27" s="9"/>
      <c r="CX27" s="9"/>
      <c r="CY27" s="9"/>
      <c r="CZ27" s="11"/>
      <c r="DA27" s="68">
        <v>4000</v>
      </c>
      <c r="DB27" s="10"/>
      <c r="DC27" s="10"/>
      <c r="DD27" s="10"/>
      <c r="DE27" s="10"/>
      <c r="DF27" s="68">
        <v>4000</v>
      </c>
      <c r="DG27" s="21"/>
      <c r="DH27" s="20"/>
      <c r="DI27" s="10"/>
      <c r="DJ27" s="11"/>
      <c r="DK27" s="24"/>
      <c r="DL27" s="72"/>
    </row>
    <row r="28" spans="1:116">
      <c r="A28" s="9">
        <v>4000</v>
      </c>
      <c r="B28" s="9">
        <v>1000</v>
      </c>
      <c r="C28" s="9">
        <v>400</v>
      </c>
      <c r="D28" s="9">
        <v>28000</v>
      </c>
      <c r="E28" s="9">
        <v>2300</v>
      </c>
      <c r="F28" s="9">
        <v>16000</v>
      </c>
      <c r="G28" s="9">
        <v>13000</v>
      </c>
      <c r="H28" s="9">
        <v>7000</v>
      </c>
      <c r="I28" s="9"/>
      <c r="J28" s="11"/>
      <c r="K28" s="68">
        <v>3000</v>
      </c>
      <c r="L28" s="68">
        <v>3000</v>
      </c>
      <c r="M28" s="10"/>
      <c r="N28" s="10">
        <v>6000</v>
      </c>
      <c r="O28" s="10">
        <v>2500</v>
      </c>
      <c r="P28" s="10"/>
      <c r="Q28" s="10">
        <v>4500</v>
      </c>
      <c r="R28" s="21"/>
      <c r="S28" s="20"/>
      <c r="T28" s="10"/>
      <c r="U28" s="11"/>
      <c r="V28" s="24"/>
      <c r="W28" s="72">
        <v>12000</v>
      </c>
      <c r="X28" s="24"/>
      <c r="Y28" s="9">
        <v>2800</v>
      </c>
      <c r="Z28" s="9">
        <v>400</v>
      </c>
      <c r="AA28" s="9">
        <v>4000</v>
      </c>
      <c r="AB28" s="9">
        <v>15000</v>
      </c>
      <c r="AC28" s="9">
        <v>20000</v>
      </c>
      <c r="AD28" s="9">
        <v>1000</v>
      </c>
      <c r="AE28" s="9">
        <v>5000</v>
      </c>
      <c r="AF28" s="9">
        <v>1500</v>
      </c>
      <c r="AG28" s="9"/>
      <c r="AH28" s="11"/>
      <c r="AI28" s="68">
        <v>21130</v>
      </c>
      <c r="AJ28" s="68">
        <v>38000</v>
      </c>
      <c r="AK28" s="68">
        <v>5940</v>
      </c>
      <c r="AL28" s="68">
        <v>13500</v>
      </c>
      <c r="AM28" s="68">
        <v>8500</v>
      </c>
      <c r="AN28" s="10"/>
      <c r="AO28" s="21"/>
      <c r="AP28" s="20"/>
      <c r="AQ28" s="10"/>
      <c r="AR28" s="11"/>
      <c r="AS28" s="24"/>
      <c r="AT28" s="72">
        <v>10000</v>
      </c>
      <c r="AV28" s="9">
        <v>6000</v>
      </c>
      <c r="AW28" s="9">
        <v>1600</v>
      </c>
      <c r="AX28" s="9">
        <v>7000</v>
      </c>
      <c r="AY28" s="9">
        <v>4500</v>
      </c>
      <c r="AZ28" s="9">
        <v>5000</v>
      </c>
      <c r="BA28" s="9">
        <v>9500</v>
      </c>
      <c r="BB28" s="9">
        <v>1000</v>
      </c>
      <c r="BC28" s="9">
        <v>19500</v>
      </c>
      <c r="BD28" s="9"/>
      <c r="BE28" s="11"/>
      <c r="BF28" s="68">
        <v>8640</v>
      </c>
      <c r="BG28" s="68">
        <v>3000</v>
      </c>
      <c r="BH28" s="68">
        <v>2000</v>
      </c>
      <c r="BI28" s="10"/>
      <c r="BJ28" s="10">
        <v>40000</v>
      </c>
      <c r="BK28" s="10">
        <v>56000</v>
      </c>
      <c r="BL28" s="10">
        <v>26500</v>
      </c>
      <c r="BM28" s="9"/>
      <c r="BN28" s="21"/>
      <c r="BO28" s="20"/>
      <c r="BP28" s="10"/>
      <c r="BQ28" s="11"/>
      <c r="BR28" s="24"/>
      <c r="BS28" s="72">
        <v>10600</v>
      </c>
      <c r="BU28" s="9">
        <v>24000</v>
      </c>
      <c r="BV28" s="9">
        <v>3500</v>
      </c>
      <c r="BW28" s="9">
        <v>9000</v>
      </c>
      <c r="BX28" s="9">
        <v>1000</v>
      </c>
      <c r="BY28" s="9">
        <v>4500</v>
      </c>
      <c r="BZ28" s="9">
        <v>36500</v>
      </c>
      <c r="CA28" s="9">
        <v>3000</v>
      </c>
      <c r="CB28" s="9">
        <v>1000</v>
      </c>
      <c r="CC28" s="9"/>
      <c r="CD28" s="11"/>
      <c r="CE28" s="68">
        <v>24000</v>
      </c>
      <c r="CF28" s="68">
        <v>13450</v>
      </c>
      <c r="CG28" s="68">
        <v>23060</v>
      </c>
      <c r="CH28" s="68">
        <v>7500</v>
      </c>
      <c r="CI28" s="68">
        <v>10000</v>
      </c>
      <c r="CJ28" s="68">
        <v>32000</v>
      </c>
      <c r="CK28" s="21"/>
      <c r="CL28" s="20"/>
      <c r="CM28" s="10"/>
      <c r="CN28" s="11"/>
      <c r="CO28" s="24"/>
      <c r="CP28" s="72">
        <v>10000</v>
      </c>
      <c r="CQ28" s="24"/>
      <c r="CR28" s="9">
        <v>3000</v>
      </c>
      <c r="CS28" s="9">
        <v>7100</v>
      </c>
      <c r="CT28" s="9">
        <v>15000</v>
      </c>
      <c r="CU28" s="9"/>
      <c r="CV28" s="9"/>
      <c r="CW28" s="9"/>
      <c r="CX28" s="9"/>
      <c r="CY28" s="9"/>
      <c r="CZ28" s="11"/>
      <c r="DA28" s="68">
        <v>8000</v>
      </c>
      <c r="DB28" s="10"/>
      <c r="DC28" s="10"/>
      <c r="DD28" s="10"/>
      <c r="DE28" s="10"/>
      <c r="DF28" s="68">
        <v>1600</v>
      </c>
      <c r="DG28" s="21"/>
      <c r="DH28" s="20"/>
      <c r="DI28" s="10"/>
      <c r="DJ28" s="11"/>
      <c r="DK28" s="24"/>
      <c r="DL28" s="72"/>
    </row>
    <row r="29" spans="1:116">
      <c r="A29" s="9">
        <v>5000</v>
      </c>
      <c r="B29" s="9">
        <v>11800</v>
      </c>
      <c r="C29" s="9">
        <v>2000</v>
      </c>
      <c r="D29" s="9">
        <v>4500</v>
      </c>
      <c r="E29" s="9">
        <v>4500</v>
      </c>
      <c r="F29" s="9">
        <v>3000</v>
      </c>
      <c r="G29" s="9">
        <v>5500</v>
      </c>
      <c r="H29" s="9">
        <v>3500</v>
      </c>
      <c r="I29" s="9"/>
      <c r="J29" s="11"/>
      <c r="K29" s="68">
        <v>13500</v>
      </c>
      <c r="L29" s="68">
        <v>17100</v>
      </c>
      <c r="M29" s="10"/>
      <c r="N29" s="10">
        <v>36500</v>
      </c>
      <c r="O29" s="10">
        <v>10000</v>
      </c>
      <c r="P29" s="10"/>
      <c r="Q29" s="10">
        <v>1000</v>
      </c>
      <c r="R29" s="21"/>
      <c r="S29" s="20"/>
      <c r="T29" s="10"/>
      <c r="U29" s="11"/>
      <c r="V29" s="24"/>
      <c r="W29" s="72">
        <v>83580</v>
      </c>
      <c r="X29" s="24"/>
      <c r="Y29" s="9">
        <v>10000</v>
      </c>
      <c r="Z29" s="9">
        <v>1000</v>
      </c>
      <c r="AA29" s="9">
        <v>8300</v>
      </c>
      <c r="AB29" s="9">
        <v>4000</v>
      </c>
      <c r="AC29" s="9">
        <v>2000</v>
      </c>
      <c r="AD29" s="9">
        <v>30000</v>
      </c>
      <c r="AE29" s="9">
        <v>3500</v>
      </c>
      <c r="AF29" s="9">
        <v>400</v>
      </c>
      <c r="AG29" s="9"/>
      <c r="AH29" s="11"/>
      <c r="AI29" s="68">
        <v>5500</v>
      </c>
      <c r="AJ29" s="68">
        <v>3500</v>
      </c>
      <c r="AK29" s="10"/>
      <c r="AL29" s="68">
        <v>38000</v>
      </c>
      <c r="AM29" s="68">
        <v>18000</v>
      </c>
      <c r="AN29" s="10"/>
      <c r="AO29" s="21"/>
      <c r="AP29" s="20"/>
      <c r="AQ29" s="10"/>
      <c r="AR29" s="11"/>
      <c r="AS29" s="24"/>
      <c r="AT29" s="72">
        <v>48000</v>
      </c>
      <c r="AV29" s="9">
        <v>6000</v>
      </c>
      <c r="AW29" s="9">
        <v>1000</v>
      </c>
      <c r="AX29" s="9">
        <v>17000</v>
      </c>
      <c r="AY29" s="9">
        <v>17000</v>
      </c>
      <c r="AZ29" s="9">
        <v>4500</v>
      </c>
      <c r="BA29" s="9">
        <v>3500</v>
      </c>
      <c r="BB29" s="9">
        <v>2000</v>
      </c>
      <c r="BC29" s="9">
        <v>3000</v>
      </c>
      <c r="BD29" s="9"/>
      <c r="BE29" s="11"/>
      <c r="BF29" s="68">
        <v>6720</v>
      </c>
      <c r="BG29" s="68">
        <v>26000</v>
      </c>
      <c r="BH29" s="68">
        <v>11180</v>
      </c>
      <c r="BI29" s="10"/>
      <c r="BJ29" s="10">
        <v>2500</v>
      </c>
      <c r="BK29" s="10">
        <v>24500</v>
      </c>
      <c r="BL29" s="10">
        <v>3500</v>
      </c>
      <c r="BM29" s="9"/>
      <c r="BN29" s="21"/>
      <c r="BO29" s="20"/>
      <c r="BP29" s="10"/>
      <c r="BQ29" s="11"/>
      <c r="BR29" s="24"/>
      <c r="BS29" s="72">
        <v>10000</v>
      </c>
      <c r="BU29" s="9">
        <v>2000</v>
      </c>
      <c r="BV29" s="9">
        <v>800</v>
      </c>
      <c r="BW29" s="9">
        <v>3000</v>
      </c>
      <c r="BX29" s="9">
        <v>5000</v>
      </c>
      <c r="BY29" s="9">
        <v>3000</v>
      </c>
      <c r="BZ29" s="9">
        <v>6500</v>
      </c>
      <c r="CA29" s="9">
        <v>5000</v>
      </c>
      <c r="CB29" s="9">
        <v>3500</v>
      </c>
      <c r="CC29" s="9"/>
      <c r="CD29" s="11"/>
      <c r="CE29" s="68">
        <v>2000</v>
      </c>
      <c r="CF29" s="68">
        <v>18250</v>
      </c>
      <c r="CG29" s="68">
        <v>1530</v>
      </c>
      <c r="CH29" s="68">
        <v>4500</v>
      </c>
      <c r="CI29" s="68">
        <v>25000</v>
      </c>
      <c r="CJ29" s="68">
        <v>13000</v>
      </c>
      <c r="CK29" s="21"/>
      <c r="CL29" s="20"/>
      <c r="CM29" s="10"/>
      <c r="CN29" s="11"/>
      <c r="CO29" s="24"/>
      <c r="CP29" s="72">
        <v>10600</v>
      </c>
      <c r="CQ29" s="24"/>
      <c r="CR29" s="9">
        <v>20000</v>
      </c>
      <c r="CS29" s="9">
        <v>4000</v>
      </c>
      <c r="CT29" s="9"/>
      <c r="CU29" s="9"/>
      <c r="CV29" s="9"/>
      <c r="CW29" s="9"/>
      <c r="CX29" s="9"/>
      <c r="CY29" s="9"/>
      <c r="CZ29" s="11"/>
      <c r="DA29" s="68">
        <v>5760</v>
      </c>
      <c r="DB29" s="10"/>
      <c r="DC29" s="10"/>
      <c r="DD29" s="10"/>
      <c r="DE29" s="10"/>
      <c r="DF29" s="68">
        <v>6000</v>
      </c>
      <c r="DG29" s="21"/>
      <c r="DH29" s="20"/>
      <c r="DI29" s="10"/>
      <c r="DJ29" s="11"/>
      <c r="DK29" s="24"/>
      <c r="DL29" s="72"/>
    </row>
    <row r="30" spans="1:116">
      <c r="A30" s="9">
        <v>18500</v>
      </c>
      <c r="B30" s="9">
        <v>10000</v>
      </c>
      <c r="C30" s="9">
        <v>2500</v>
      </c>
      <c r="D30" s="9">
        <v>10000</v>
      </c>
      <c r="E30" s="9">
        <v>4000</v>
      </c>
      <c r="F30" s="9">
        <v>2500</v>
      </c>
      <c r="G30" s="9">
        <v>1500</v>
      </c>
      <c r="H30" s="9">
        <v>3300</v>
      </c>
      <c r="I30" s="9"/>
      <c r="J30" s="11"/>
      <c r="K30" s="68">
        <v>7000</v>
      </c>
      <c r="L30" s="68">
        <v>35650</v>
      </c>
      <c r="M30" s="10"/>
      <c r="N30" s="10">
        <v>4500</v>
      </c>
      <c r="O30" s="10">
        <v>3500</v>
      </c>
      <c r="P30" s="10"/>
      <c r="Q30" s="10">
        <v>4800</v>
      </c>
      <c r="R30" s="21"/>
      <c r="S30" s="20"/>
      <c r="T30" s="10"/>
      <c r="U30" s="11"/>
      <c r="V30" s="24"/>
      <c r="W30" s="72">
        <v>100000</v>
      </c>
      <c r="X30" s="24"/>
      <c r="Y30" s="9">
        <v>3500</v>
      </c>
      <c r="Z30" s="9">
        <v>2500</v>
      </c>
      <c r="AA30" s="9">
        <v>18000</v>
      </c>
      <c r="AB30" s="9">
        <v>1000</v>
      </c>
      <c r="AC30" s="9">
        <v>5000</v>
      </c>
      <c r="AD30" s="9">
        <v>9000</v>
      </c>
      <c r="AE30" s="9">
        <v>16500</v>
      </c>
      <c r="AF30" s="9">
        <v>7700</v>
      </c>
      <c r="AG30" s="9"/>
      <c r="AH30" s="11"/>
      <c r="AI30" s="68">
        <v>2000</v>
      </c>
      <c r="AJ30" s="68">
        <v>18000</v>
      </c>
      <c r="AK30" s="10"/>
      <c r="AL30" s="68">
        <v>3400</v>
      </c>
      <c r="AM30" s="68">
        <v>8000</v>
      </c>
      <c r="AN30" s="10"/>
      <c r="AO30" s="21"/>
      <c r="AP30" s="20" t="s">
        <v>53</v>
      </c>
      <c r="AQ30" s="10">
        <v>400000</v>
      </c>
      <c r="AR30" s="11"/>
      <c r="AS30" s="24"/>
      <c r="AT30" s="72">
        <v>10000</v>
      </c>
      <c r="AV30" s="9">
        <v>2500</v>
      </c>
      <c r="AW30" s="9">
        <v>3100</v>
      </c>
      <c r="AX30" s="9">
        <v>98000</v>
      </c>
      <c r="AY30" s="9">
        <v>3500</v>
      </c>
      <c r="AZ30" s="9">
        <v>3000</v>
      </c>
      <c r="BA30" s="9">
        <v>1500</v>
      </c>
      <c r="BB30" s="9">
        <v>9000</v>
      </c>
      <c r="BC30" s="9">
        <v>4000</v>
      </c>
      <c r="BD30" s="9"/>
      <c r="BE30" s="11"/>
      <c r="BF30" s="68">
        <v>82620</v>
      </c>
      <c r="BG30" s="68">
        <v>14000</v>
      </c>
      <c r="BH30" s="68">
        <v>18000</v>
      </c>
      <c r="BI30" s="10"/>
      <c r="BJ30" s="10">
        <v>7000</v>
      </c>
      <c r="BK30" s="10">
        <v>6500</v>
      </c>
      <c r="BL30" s="10">
        <v>23000</v>
      </c>
      <c r="BM30" s="9"/>
      <c r="BN30" s="21"/>
      <c r="BO30" s="20"/>
      <c r="BP30" s="10"/>
      <c r="BQ30" s="11"/>
      <c r="BR30" s="24"/>
      <c r="BS30" s="72"/>
      <c r="BU30" s="9">
        <v>8000</v>
      </c>
      <c r="BV30" s="9">
        <v>200</v>
      </c>
      <c r="BW30" s="9">
        <v>15000</v>
      </c>
      <c r="BX30" s="9">
        <v>3000</v>
      </c>
      <c r="BY30" s="9">
        <v>4500</v>
      </c>
      <c r="BZ30" s="9">
        <v>5000</v>
      </c>
      <c r="CA30" s="9">
        <v>35000</v>
      </c>
      <c r="CB30" s="9">
        <v>9500</v>
      </c>
      <c r="CC30" s="9"/>
      <c r="CD30" s="11"/>
      <c r="CE30" s="68">
        <v>7500</v>
      </c>
      <c r="CF30" s="68">
        <v>500</v>
      </c>
      <c r="CG30" s="10"/>
      <c r="CH30" s="68">
        <v>5500</v>
      </c>
      <c r="CI30" s="68">
        <v>8000</v>
      </c>
      <c r="CJ30" s="68">
        <v>34500</v>
      </c>
      <c r="CK30" s="21"/>
      <c r="CL30" s="20" t="s">
        <v>53</v>
      </c>
      <c r="CM30" s="10">
        <v>400000</v>
      </c>
      <c r="CN30" s="11"/>
      <c r="CO30" s="24"/>
      <c r="CP30" s="72">
        <v>200000</v>
      </c>
      <c r="CQ30" s="24"/>
      <c r="CR30" s="9">
        <v>32500</v>
      </c>
      <c r="CS30" s="9">
        <v>1200</v>
      </c>
      <c r="CT30" s="9"/>
      <c r="CU30" s="9"/>
      <c r="CV30" s="9"/>
      <c r="CW30" s="9"/>
      <c r="CX30" s="9"/>
      <c r="CY30" s="9"/>
      <c r="CZ30" s="11"/>
      <c r="DA30" s="68">
        <v>1920</v>
      </c>
      <c r="DB30" s="10"/>
      <c r="DC30" s="10"/>
      <c r="DD30" s="10"/>
      <c r="DE30" s="10"/>
      <c r="DF30" s="68">
        <v>7300</v>
      </c>
      <c r="DG30" s="21"/>
      <c r="DH30" s="20"/>
      <c r="DI30" s="10"/>
      <c r="DJ30" s="11"/>
      <c r="DK30" s="24"/>
      <c r="DL30" s="72"/>
    </row>
    <row r="31" spans="1:116">
      <c r="A31" s="9">
        <v>11000</v>
      </c>
      <c r="B31" s="9">
        <v>5000</v>
      </c>
      <c r="C31" s="9">
        <v>500</v>
      </c>
      <c r="D31" s="9">
        <v>300</v>
      </c>
      <c r="E31" s="9">
        <v>7000</v>
      </c>
      <c r="F31" s="9">
        <v>1500</v>
      </c>
      <c r="G31" s="9">
        <v>20000</v>
      </c>
      <c r="H31" s="9">
        <v>13000</v>
      </c>
      <c r="I31" s="9"/>
      <c r="J31" s="11"/>
      <c r="K31" s="68">
        <v>3800</v>
      </c>
      <c r="L31" s="68">
        <v>43000</v>
      </c>
      <c r="M31" s="10"/>
      <c r="N31" s="10">
        <v>6500</v>
      </c>
      <c r="O31" s="10">
        <v>12000</v>
      </c>
      <c r="P31" s="10"/>
      <c r="Q31" s="10">
        <v>15000</v>
      </c>
      <c r="R31" s="21"/>
      <c r="S31" s="20" t="s">
        <v>50</v>
      </c>
      <c r="T31" s="10">
        <v>300000</v>
      </c>
      <c r="U31" s="11"/>
      <c r="V31" s="24"/>
      <c r="W31" s="72">
        <v>6600</v>
      </c>
      <c r="X31" s="24"/>
      <c r="Y31" s="9">
        <v>5000</v>
      </c>
      <c r="Z31" s="9">
        <v>2500</v>
      </c>
      <c r="AA31" s="9">
        <v>6000</v>
      </c>
      <c r="AB31" s="9">
        <v>7100</v>
      </c>
      <c r="AC31" s="9">
        <v>2000</v>
      </c>
      <c r="AD31" s="9">
        <v>1900</v>
      </c>
      <c r="AE31" s="9">
        <v>4000</v>
      </c>
      <c r="AF31" s="9">
        <v>9500</v>
      </c>
      <c r="AG31" s="9"/>
      <c r="AH31" s="11"/>
      <c r="AI31" s="68">
        <v>41790</v>
      </c>
      <c r="AJ31" s="68">
        <v>3360</v>
      </c>
      <c r="AK31" s="10"/>
      <c r="AL31" s="68">
        <v>2000</v>
      </c>
      <c r="AM31" s="68">
        <v>8500</v>
      </c>
      <c r="AN31" s="10"/>
      <c r="AO31" s="21"/>
      <c r="AP31" s="20" t="s">
        <v>50</v>
      </c>
      <c r="AQ31" s="10">
        <v>400000</v>
      </c>
      <c r="AR31" s="11"/>
      <c r="AS31" s="24"/>
      <c r="AT31" s="72"/>
      <c r="AV31" s="9">
        <v>30000</v>
      </c>
      <c r="AW31" s="9">
        <v>1500</v>
      </c>
      <c r="AX31" s="9">
        <v>500</v>
      </c>
      <c r="AY31" s="9">
        <v>6000</v>
      </c>
      <c r="AZ31" s="9">
        <v>600</v>
      </c>
      <c r="BA31" s="9">
        <v>500</v>
      </c>
      <c r="BB31" s="9">
        <v>10000</v>
      </c>
      <c r="BC31" s="9">
        <v>9000</v>
      </c>
      <c r="BD31" s="9"/>
      <c r="BE31" s="11"/>
      <c r="BF31" s="68">
        <v>3840</v>
      </c>
      <c r="BG31" s="68">
        <v>5500</v>
      </c>
      <c r="BH31" s="68">
        <v>29000</v>
      </c>
      <c r="BI31" s="10"/>
      <c r="BJ31" s="10">
        <v>2500</v>
      </c>
      <c r="BK31" s="10">
        <v>32500</v>
      </c>
      <c r="BL31" s="10">
        <v>2500</v>
      </c>
      <c r="BM31" s="9"/>
      <c r="BN31" s="21"/>
      <c r="BO31" s="20"/>
      <c r="BP31" s="10"/>
      <c r="BQ31" s="11"/>
      <c r="BR31" s="24"/>
      <c r="BS31" s="72"/>
      <c r="BU31" s="9">
        <v>42000</v>
      </c>
      <c r="BV31" s="9">
        <v>14600</v>
      </c>
      <c r="BW31" s="9">
        <v>5500</v>
      </c>
      <c r="BX31" s="9">
        <v>13500</v>
      </c>
      <c r="BY31" s="9">
        <v>1000</v>
      </c>
      <c r="BZ31" s="9">
        <v>800</v>
      </c>
      <c r="CA31" s="9">
        <v>17500</v>
      </c>
      <c r="CB31" s="9">
        <v>5000</v>
      </c>
      <c r="CC31" s="9"/>
      <c r="CD31" s="11"/>
      <c r="CE31" s="68">
        <v>26900</v>
      </c>
      <c r="CF31" s="68">
        <v>20650</v>
      </c>
      <c r="CG31" s="10"/>
      <c r="CH31" s="68">
        <v>25000</v>
      </c>
      <c r="CI31" s="68">
        <v>4000</v>
      </c>
      <c r="CJ31" s="68">
        <v>12000</v>
      </c>
      <c r="CK31" s="21"/>
      <c r="CL31" s="20" t="s">
        <v>50</v>
      </c>
      <c r="CM31" s="10">
        <v>400000</v>
      </c>
      <c r="CN31" s="11"/>
      <c r="CO31" s="24"/>
      <c r="CP31" s="72">
        <v>13000</v>
      </c>
      <c r="CQ31" s="24"/>
      <c r="CR31" s="9">
        <v>29000</v>
      </c>
      <c r="CS31" s="9">
        <v>2500</v>
      </c>
      <c r="CT31" s="9"/>
      <c r="CU31" s="9"/>
      <c r="CV31" s="9"/>
      <c r="CW31" s="9"/>
      <c r="CX31" s="9"/>
      <c r="CY31" s="9"/>
      <c r="CZ31" s="11"/>
      <c r="DA31" s="68">
        <v>6500</v>
      </c>
      <c r="DB31" s="10"/>
      <c r="DC31" s="10"/>
      <c r="DD31" s="10"/>
      <c r="DE31" s="10"/>
      <c r="DF31" s="68">
        <v>7300</v>
      </c>
      <c r="DG31" s="21"/>
      <c r="DH31" s="20"/>
      <c r="DI31" s="10"/>
      <c r="DJ31" s="11"/>
      <c r="DK31" s="24"/>
      <c r="DL31" s="72"/>
    </row>
    <row r="32" spans="1:116">
      <c r="A32" s="9">
        <v>2500</v>
      </c>
      <c r="B32" s="9">
        <v>2400</v>
      </c>
      <c r="C32" s="9">
        <v>27300</v>
      </c>
      <c r="D32" s="9">
        <v>2500</v>
      </c>
      <c r="E32" s="9">
        <v>1200</v>
      </c>
      <c r="F32" s="9">
        <v>22000</v>
      </c>
      <c r="G32" s="9">
        <v>3500</v>
      </c>
      <c r="H32" s="9">
        <v>2000</v>
      </c>
      <c r="I32" s="9"/>
      <c r="J32" s="11"/>
      <c r="K32" s="68">
        <v>3000</v>
      </c>
      <c r="L32" s="68">
        <v>4000</v>
      </c>
      <c r="M32" s="10"/>
      <c r="N32" s="10">
        <v>3500</v>
      </c>
      <c r="O32" s="10">
        <v>61500</v>
      </c>
      <c r="P32" s="10"/>
      <c r="Q32" s="10">
        <v>3500</v>
      </c>
      <c r="R32" s="21"/>
      <c r="S32" s="20" t="s">
        <v>50</v>
      </c>
      <c r="T32" s="10">
        <v>100000</v>
      </c>
      <c r="U32" s="11"/>
      <c r="V32" s="24"/>
      <c r="W32" s="72">
        <v>500000</v>
      </c>
      <c r="X32" s="24"/>
      <c r="Y32" s="9">
        <v>40000</v>
      </c>
      <c r="Z32" s="9">
        <v>3000</v>
      </c>
      <c r="AA32" s="9">
        <v>2100</v>
      </c>
      <c r="AB32" s="9">
        <v>300</v>
      </c>
      <c r="AC32" s="9">
        <v>2500</v>
      </c>
      <c r="AD32" s="9">
        <v>4500</v>
      </c>
      <c r="AE32" s="9">
        <v>4500</v>
      </c>
      <c r="AF32" s="9">
        <v>800</v>
      </c>
      <c r="AG32" s="9"/>
      <c r="AH32" s="11"/>
      <c r="AI32" s="68">
        <v>6900</v>
      </c>
      <c r="AJ32" s="68">
        <v>6000</v>
      </c>
      <c r="AK32" s="10"/>
      <c r="AL32" s="68">
        <v>20000</v>
      </c>
      <c r="AM32" s="68">
        <v>3650</v>
      </c>
      <c r="AN32" s="10"/>
      <c r="AO32" s="21"/>
      <c r="AP32" s="20"/>
      <c r="AQ32" s="10"/>
      <c r="AR32" s="11"/>
      <c r="AS32" s="24"/>
      <c r="AT32" s="72"/>
      <c r="AV32" s="9">
        <v>300</v>
      </c>
      <c r="AW32" s="9">
        <v>3000</v>
      </c>
      <c r="AX32" s="9">
        <v>13500</v>
      </c>
      <c r="AY32" s="9">
        <v>2700</v>
      </c>
      <c r="AZ32" s="9">
        <v>600</v>
      </c>
      <c r="BA32" s="9">
        <v>2400</v>
      </c>
      <c r="BB32" s="9">
        <v>13800</v>
      </c>
      <c r="BC32" s="9">
        <v>14000</v>
      </c>
      <c r="BD32" s="9"/>
      <c r="BE32" s="11"/>
      <c r="BF32" s="68">
        <v>39670</v>
      </c>
      <c r="BG32" s="68">
        <v>18000</v>
      </c>
      <c r="BH32" s="68">
        <v>4000</v>
      </c>
      <c r="BI32" s="10"/>
      <c r="BJ32" s="10">
        <v>6200</v>
      </c>
      <c r="BK32" s="10">
        <v>7000</v>
      </c>
      <c r="BL32" s="10">
        <v>4000</v>
      </c>
      <c r="BM32" s="9"/>
      <c r="BN32" s="21"/>
      <c r="BO32" s="20" t="s">
        <v>53</v>
      </c>
      <c r="BP32" s="10">
        <v>400000</v>
      </c>
      <c r="BQ32" s="11"/>
      <c r="BR32" s="24"/>
      <c r="BS32" s="72"/>
      <c r="BU32" s="9">
        <v>10000</v>
      </c>
      <c r="BV32" s="9">
        <v>20000</v>
      </c>
      <c r="BW32" s="9">
        <v>4500</v>
      </c>
      <c r="BX32" s="9">
        <v>4500</v>
      </c>
      <c r="BY32" s="9">
        <v>23000</v>
      </c>
      <c r="BZ32" s="9">
        <v>4000</v>
      </c>
      <c r="CA32" s="9">
        <v>5000</v>
      </c>
      <c r="CB32" s="9">
        <v>8000</v>
      </c>
      <c r="CC32" s="9"/>
      <c r="CD32" s="11"/>
      <c r="CE32" s="68">
        <v>68400</v>
      </c>
      <c r="CF32" s="68">
        <v>7500</v>
      </c>
      <c r="CG32" s="10"/>
      <c r="CH32" s="68">
        <v>8500</v>
      </c>
      <c r="CI32" s="68">
        <v>90000</v>
      </c>
      <c r="CJ32" s="68">
        <v>35000</v>
      </c>
      <c r="CK32" s="21"/>
      <c r="CL32" s="20"/>
      <c r="CM32" s="10"/>
      <c r="CN32" s="11"/>
      <c r="CO32" s="24"/>
      <c r="CP32" s="72">
        <v>4000</v>
      </c>
      <c r="CQ32" s="24"/>
      <c r="CR32" s="9">
        <v>6000</v>
      </c>
      <c r="CS32" s="9">
        <v>3000</v>
      </c>
      <c r="CT32" s="9"/>
      <c r="CU32" s="9"/>
      <c r="CV32" s="9"/>
      <c r="CW32" s="9"/>
      <c r="CX32" s="9"/>
      <c r="CY32" s="9"/>
      <c r="CZ32" s="11"/>
      <c r="DA32" s="68">
        <v>15370</v>
      </c>
      <c r="DB32" s="10"/>
      <c r="DC32" s="10"/>
      <c r="DD32" s="10"/>
      <c r="DE32" s="10"/>
      <c r="DF32" s="68">
        <v>400</v>
      </c>
      <c r="DG32" s="21"/>
      <c r="DH32" s="20"/>
      <c r="DI32" s="10"/>
      <c r="DJ32" s="11"/>
      <c r="DK32" s="24"/>
      <c r="DL32" s="72"/>
    </row>
    <row r="33" spans="1:116">
      <c r="A33" s="9">
        <v>16000</v>
      </c>
      <c r="B33" s="9">
        <v>3200</v>
      </c>
      <c r="C33" s="9">
        <v>2300</v>
      </c>
      <c r="D33" s="9">
        <v>6000</v>
      </c>
      <c r="E33" s="9">
        <v>9500</v>
      </c>
      <c r="F33" s="9">
        <v>1000</v>
      </c>
      <c r="G33" s="9">
        <v>6000</v>
      </c>
      <c r="H33" s="9">
        <v>15000</v>
      </c>
      <c r="I33" s="9"/>
      <c r="J33" s="11"/>
      <c r="K33" s="68">
        <v>12000</v>
      </c>
      <c r="L33" s="68">
        <v>5000</v>
      </c>
      <c r="M33" s="10"/>
      <c r="N33" s="10">
        <v>3100</v>
      </c>
      <c r="O33" s="10">
        <v>12800</v>
      </c>
      <c r="P33" s="10"/>
      <c r="Q33" s="10">
        <v>3000</v>
      </c>
      <c r="R33" s="21"/>
      <c r="S33" s="20" t="s">
        <v>53</v>
      </c>
      <c r="T33" s="10">
        <v>400000</v>
      </c>
      <c r="U33" s="11"/>
      <c r="V33" s="24"/>
      <c r="W33" s="72">
        <v>12000</v>
      </c>
      <c r="X33" s="24"/>
      <c r="Y33" s="9">
        <v>9400</v>
      </c>
      <c r="Z33" s="9">
        <v>4500</v>
      </c>
      <c r="AA33" s="9">
        <v>1500</v>
      </c>
      <c r="AB33" s="9">
        <v>700</v>
      </c>
      <c r="AC33" s="9">
        <v>300</v>
      </c>
      <c r="AD33" s="9">
        <v>8500</v>
      </c>
      <c r="AE33" s="9">
        <v>1000</v>
      </c>
      <c r="AF33" s="9">
        <v>7500</v>
      </c>
      <c r="AG33" s="9"/>
      <c r="AH33" s="11"/>
      <c r="AI33" s="68">
        <v>2500</v>
      </c>
      <c r="AJ33" s="68">
        <v>5000</v>
      </c>
      <c r="AK33" s="10"/>
      <c r="AL33" s="68">
        <v>5000</v>
      </c>
      <c r="AM33" s="68">
        <v>4000</v>
      </c>
      <c r="AN33" s="10"/>
      <c r="AO33" s="21"/>
      <c r="AP33" s="20"/>
      <c r="AQ33" s="10"/>
      <c r="AR33" s="11"/>
      <c r="AS33" s="24"/>
      <c r="AT33" s="72"/>
      <c r="AV33" s="9">
        <v>4500</v>
      </c>
      <c r="AW33" s="9">
        <v>40000</v>
      </c>
      <c r="AX33" s="9">
        <v>29000</v>
      </c>
      <c r="AY33" s="9">
        <v>9000</v>
      </c>
      <c r="AZ33" s="9">
        <v>2600</v>
      </c>
      <c r="BA33" s="9">
        <v>15500</v>
      </c>
      <c r="BB33" s="9">
        <v>26000</v>
      </c>
      <c r="BC33" s="9">
        <v>6700</v>
      </c>
      <c r="BD33" s="9"/>
      <c r="BE33" s="11"/>
      <c r="BF33" s="68">
        <v>2300</v>
      </c>
      <c r="BG33" s="68">
        <v>3000</v>
      </c>
      <c r="BH33" s="68">
        <v>1480</v>
      </c>
      <c r="BI33" s="10"/>
      <c r="BJ33" s="10">
        <v>3000</v>
      </c>
      <c r="BK33" s="10">
        <v>32000</v>
      </c>
      <c r="BL33" s="10">
        <v>8000</v>
      </c>
      <c r="BM33" s="10"/>
      <c r="BN33" s="21"/>
      <c r="BO33" s="20"/>
      <c r="BP33" s="10"/>
      <c r="BQ33" s="11"/>
      <c r="BR33" s="24"/>
      <c r="BS33" s="72"/>
      <c r="BU33" s="9">
        <v>4000</v>
      </c>
      <c r="BV33" s="9">
        <v>500</v>
      </c>
      <c r="BW33" s="9">
        <v>4500</v>
      </c>
      <c r="BX33" s="9">
        <v>1600</v>
      </c>
      <c r="BY33" s="9">
        <v>6500</v>
      </c>
      <c r="BZ33" s="9">
        <v>2000</v>
      </c>
      <c r="CA33" s="9">
        <v>9000</v>
      </c>
      <c r="CB33" s="9">
        <v>36000</v>
      </c>
      <c r="CC33" s="9"/>
      <c r="CD33" s="11"/>
      <c r="CE33" s="68">
        <v>12000</v>
      </c>
      <c r="CF33" s="68">
        <v>8000</v>
      </c>
      <c r="CG33" s="10"/>
      <c r="CH33" s="10"/>
      <c r="CI33" s="68">
        <v>12000</v>
      </c>
      <c r="CJ33" s="68">
        <v>24000</v>
      </c>
      <c r="CK33" s="21"/>
      <c r="CL33" s="20"/>
      <c r="CM33" s="10"/>
      <c r="CN33" s="11"/>
      <c r="CO33" s="24"/>
      <c r="CP33" s="72"/>
      <c r="CQ33" s="24"/>
      <c r="CR33" s="9">
        <v>8500</v>
      </c>
      <c r="CS33" s="9">
        <v>1000</v>
      </c>
      <c r="CT33" s="9"/>
      <c r="CU33" s="9"/>
      <c r="CV33" s="9"/>
      <c r="CW33" s="9"/>
      <c r="CX33" s="9"/>
      <c r="CY33" s="9"/>
      <c r="CZ33" s="11"/>
      <c r="DA33" s="68">
        <v>6680</v>
      </c>
      <c r="DB33" s="10"/>
      <c r="DC33" s="10"/>
      <c r="DD33" s="10"/>
      <c r="DE33" s="10"/>
      <c r="DF33" s="10"/>
      <c r="DG33" s="21"/>
      <c r="DH33" s="20"/>
      <c r="DI33" s="10"/>
      <c r="DJ33" s="11"/>
      <c r="DK33" s="24"/>
      <c r="DL33" s="72"/>
    </row>
    <row r="34" spans="1:116">
      <c r="A34" s="9">
        <v>2000</v>
      </c>
      <c r="B34" s="9">
        <v>800</v>
      </c>
      <c r="C34" s="9">
        <v>12000</v>
      </c>
      <c r="D34" s="9">
        <v>3500</v>
      </c>
      <c r="E34" s="9">
        <v>1200</v>
      </c>
      <c r="F34" s="9">
        <v>4000</v>
      </c>
      <c r="G34" s="9">
        <v>4500</v>
      </c>
      <c r="H34" s="9">
        <v>3000</v>
      </c>
      <c r="I34" s="9"/>
      <c r="J34" s="11"/>
      <c r="K34" s="68">
        <v>30000</v>
      </c>
      <c r="L34" s="68">
        <v>4500</v>
      </c>
      <c r="M34" s="10"/>
      <c r="N34" s="10">
        <v>3000</v>
      </c>
      <c r="O34" s="10">
        <v>9000</v>
      </c>
      <c r="P34" s="10"/>
      <c r="Q34" s="10">
        <v>1000</v>
      </c>
      <c r="R34" s="21"/>
      <c r="S34" s="20"/>
      <c r="T34" s="10"/>
      <c r="U34" s="11"/>
      <c r="V34" s="24"/>
      <c r="W34" s="72">
        <v>4000</v>
      </c>
      <c r="X34" s="24"/>
      <c r="Y34" s="9">
        <v>300</v>
      </c>
      <c r="Z34" s="9">
        <v>400</v>
      </c>
      <c r="AA34" s="9">
        <v>10500</v>
      </c>
      <c r="AB34" s="9">
        <v>11000</v>
      </c>
      <c r="AC34" s="9">
        <v>4000</v>
      </c>
      <c r="AD34" s="9">
        <v>8500</v>
      </c>
      <c r="AE34" s="9">
        <v>8500</v>
      </c>
      <c r="AF34" s="9">
        <v>1000</v>
      </c>
      <c r="AG34" s="9"/>
      <c r="AH34" s="11"/>
      <c r="AI34" s="68">
        <v>5000</v>
      </c>
      <c r="AJ34" s="68">
        <v>2500</v>
      </c>
      <c r="AK34" s="10"/>
      <c r="AL34" s="68">
        <v>5000</v>
      </c>
      <c r="AM34" s="68">
        <v>5000</v>
      </c>
      <c r="AN34" s="10"/>
      <c r="AO34" s="21"/>
      <c r="AP34" s="20"/>
      <c r="AQ34" s="10"/>
      <c r="AR34" s="11"/>
      <c r="AS34" s="24"/>
      <c r="AT34" s="72"/>
      <c r="AV34" s="9">
        <v>3000</v>
      </c>
      <c r="AW34" s="9">
        <v>2000</v>
      </c>
      <c r="AX34" s="9">
        <v>800</v>
      </c>
      <c r="AY34" s="9">
        <v>3000</v>
      </c>
      <c r="AZ34" s="9">
        <v>3200</v>
      </c>
      <c r="BA34" s="9">
        <v>5000</v>
      </c>
      <c r="BB34" s="9">
        <v>4500</v>
      </c>
      <c r="BC34" s="9">
        <v>8500</v>
      </c>
      <c r="BD34" s="9"/>
      <c r="BE34" s="11"/>
      <c r="BF34" s="68">
        <v>16800</v>
      </c>
      <c r="BG34" s="68">
        <v>26000</v>
      </c>
      <c r="BH34" s="68">
        <v>1000</v>
      </c>
      <c r="BI34" s="10"/>
      <c r="BJ34" s="10">
        <v>7000</v>
      </c>
      <c r="BK34" s="10">
        <v>6000</v>
      </c>
      <c r="BL34" s="10">
        <v>1000</v>
      </c>
      <c r="BM34" s="10"/>
      <c r="BN34" s="21"/>
      <c r="BO34" s="20"/>
      <c r="BP34" s="10"/>
      <c r="BQ34" s="11"/>
      <c r="BR34" s="24"/>
      <c r="BS34" s="72"/>
      <c r="BU34" s="9">
        <v>500</v>
      </c>
      <c r="BV34" s="9">
        <v>2000</v>
      </c>
      <c r="BW34" s="9">
        <v>1500</v>
      </c>
      <c r="BX34" s="9">
        <v>3800</v>
      </c>
      <c r="BY34" s="9">
        <v>4000</v>
      </c>
      <c r="BZ34" s="9">
        <v>1000</v>
      </c>
      <c r="CA34" s="9">
        <v>1200</v>
      </c>
      <c r="CB34" s="9">
        <v>6500</v>
      </c>
      <c r="CC34" s="9"/>
      <c r="CD34" s="11"/>
      <c r="CE34" s="68">
        <v>3000</v>
      </c>
      <c r="CF34" s="68">
        <v>16000</v>
      </c>
      <c r="CG34" s="10"/>
      <c r="CH34" s="10"/>
      <c r="CI34" s="68">
        <v>6000</v>
      </c>
      <c r="CJ34" s="68">
        <v>5000</v>
      </c>
      <c r="CK34" s="21"/>
      <c r="CL34" s="20"/>
      <c r="CM34" s="10"/>
      <c r="CN34" s="11"/>
      <c r="CO34" s="24"/>
      <c r="CP34" s="72"/>
      <c r="CQ34" s="24"/>
      <c r="CR34" s="9">
        <v>2700</v>
      </c>
      <c r="CS34" s="9">
        <v>2850</v>
      </c>
      <c r="CT34" s="9"/>
      <c r="CU34" s="9"/>
      <c r="CV34" s="9"/>
      <c r="CW34" s="9"/>
      <c r="CX34" s="9"/>
      <c r="CY34" s="9"/>
      <c r="CZ34" s="11"/>
      <c r="DA34" s="68">
        <v>1970</v>
      </c>
      <c r="DB34" s="10"/>
      <c r="DC34" s="10"/>
      <c r="DD34" s="10"/>
      <c r="DE34" s="10"/>
      <c r="DF34" s="10"/>
      <c r="DG34" s="21"/>
      <c r="DH34" s="20"/>
      <c r="DI34" s="10"/>
      <c r="DJ34" s="11"/>
      <c r="DK34" s="24"/>
      <c r="DL34" s="72"/>
    </row>
    <row r="35" spans="1:116">
      <c r="A35" s="9">
        <v>10500</v>
      </c>
      <c r="B35" s="9">
        <v>2600</v>
      </c>
      <c r="C35" s="9">
        <v>2000</v>
      </c>
      <c r="D35" s="9">
        <v>4500</v>
      </c>
      <c r="E35" s="9">
        <v>24500</v>
      </c>
      <c r="F35" s="9">
        <v>3200</v>
      </c>
      <c r="G35" s="9">
        <v>3500</v>
      </c>
      <c r="H35" s="9">
        <v>6700</v>
      </c>
      <c r="I35" s="9"/>
      <c r="J35" s="11"/>
      <c r="K35" s="68">
        <v>3500</v>
      </c>
      <c r="L35" s="68">
        <v>10000</v>
      </c>
      <c r="M35" s="10"/>
      <c r="N35" s="10">
        <v>46750</v>
      </c>
      <c r="O35" s="10">
        <v>34000</v>
      </c>
      <c r="P35" s="10"/>
      <c r="Q35" s="10">
        <v>31000</v>
      </c>
      <c r="R35" s="21"/>
      <c r="S35" s="20"/>
      <c r="T35" s="10"/>
      <c r="U35" s="11"/>
      <c r="V35" s="24"/>
      <c r="W35" s="72"/>
      <c r="X35" s="24"/>
      <c r="Y35" s="9">
        <v>1500</v>
      </c>
      <c r="Z35" s="9">
        <v>17500</v>
      </c>
      <c r="AA35" s="9">
        <v>7500</v>
      </c>
      <c r="AB35" s="9">
        <v>7500</v>
      </c>
      <c r="AC35" s="9">
        <v>8500</v>
      </c>
      <c r="AD35" s="9">
        <v>3000</v>
      </c>
      <c r="AE35" s="9">
        <v>3500</v>
      </c>
      <c r="AF35" s="9">
        <v>1500</v>
      </c>
      <c r="AG35" s="9"/>
      <c r="AH35" s="11"/>
      <c r="AI35" s="68">
        <v>2000</v>
      </c>
      <c r="AJ35" s="68">
        <v>2300</v>
      </c>
      <c r="AK35" s="10"/>
      <c r="AL35" s="68">
        <v>25500</v>
      </c>
      <c r="AM35" s="68">
        <v>31000</v>
      </c>
      <c r="AN35" s="10"/>
      <c r="AO35" s="21"/>
      <c r="AP35" s="20"/>
      <c r="AQ35" s="10"/>
      <c r="AR35" s="11"/>
      <c r="AS35" s="24"/>
      <c r="AT35" s="72"/>
      <c r="AV35" s="9">
        <v>10000</v>
      </c>
      <c r="AW35" s="9">
        <v>4000</v>
      </c>
      <c r="AX35" s="9">
        <v>14000</v>
      </c>
      <c r="AY35" s="9">
        <v>2000</v>
      </c>
      <c r="AZ35" s="9">
        <v>20500</v>
      </c>
      <c r="BA35" s="9">
        <v>5000</v>
      </c>
      <c r="BB35" s="9">
        <v>13500</v>
      </c>
      <c r="BC35" s="9">
        <v>10500</v>
      </c>
      <c r="BD35" s="9"/>
      <c r="BE35" s="11"/>
      <c r="BF35" s="68">
        <v>5000</v>
      </c>
      <c r="BG35" s="68">
        <v>31100</v>
      </c>
      <c r="BH35" s="68">
        <v>500</v>
      </c>
      <c r="BI35" s="10"/>
      <c r="BJ35" s="10">
        <v>8500</v>
      </c>
      <c r="BK35" s="10">
        <v>5500</v>
      </c>
      <c r="BL35" s="10">
        <v>16500</v>
      </c>
      <c r="BM35" s="10"/>
      <c r="BN35" s="21"/>
      <c r="BO35" s="20"/>
      <c r="BP35" s="10"/>
      <c r="BQ35" s="11"/>
      <c r="BR35" s="24"/>
      <c r="BS35" s="72"/>
      <c r="BU35" s="9">
        <v>13500</v>
      </c>
      <c r="BV35" s="9">
        <v>27000</v>
      </c>
      <c r="BW35" s="9">
        <v>9000</v>
      </c>
      <c r="BX35" s="9">
        <v>500</v>
      </c>
      <c r="BY35" s="9">
        <v>600</v>
      </c>
      <c r="BZ35" s="9">
        <v>4000</v>
      </c>
      <c r="CA35" s="9">
        <v>1600</v>
      </c>
      <c r="CB35" s="9">
        <v>7500</v>
      </c>
      <c r="CC35" s="9"/>
      <c r="CD35" s="11"/>
      <c r="CE35" s="68">
        <v>4500</v>
      </c>
      <c r="CF35" s="68">
        <v>21000</v>
      </c>
      <c r="CG35" s="10"/>
      <c r="CH35" s="10"/>
      <c r="CI35" s="68">
        <v>34000</v>
      </c>
      <c r="CJ35" s="68">
        <v>10000</v>
      </c>
      <c r="CK35" s="21"/>
      <c r="CL35" s="20"/>
      <c r="CM35" s="10"/>
      <c r="CN35" s="11"/>
      <c r="CO35" s="24"/>
      <c r="CP35" s="72"/>
      <c r="CQ35" s="24"/>
      <c r="CR35" s="9">
        <v>15000</v>
      </c>
      <c r="CS35" s="9">
        <v>1500</v>
      </c>
      <c r="CT35" s="9"/>
      <c r="CU35" s="9"/>
      <c r="CV35" s="9"/>
      <c r="CW35" s="9"/>
      <c r="CX35" s="9"/>
      <c r="CY35" s="9"/>
      <c r="CZ35" s="11"/>
      <c r="DA35" s="68">
        <v>6000</v>
      </c>
      <c r="DB35" s="10"/>
      <c r="DC35" s="10"/>
      <c r="DD35" s="10"/>
      <c r="DE35" s="10"/>
      <c r="DF35" s="10"/>
      <c r="DG35" s="21"/>
      <c r="DH35" s="20"/>
      <c r="DI35" s="10"/>
      <c r="DJ35" s="11"/>
      <c r="DK35" s="24"/>
      <c r="DL35" s="72"/>
    </row>
    <row r="36" spans="17:87">
      <c r="Q36" s="4"/>
      <c r="BG36" s="35"/>
      <c r="BH36" s="36"/>
      <c r="BI36" s="36"/>
      <c r="BJ36" s="36"/>
      <c r="BK36" s="36"/>
      <c r="BL36" s="36"/>
      <c r="BM36" s="35"/>
      <c r="BN36" s="35"/>
      <c r="BO36" s="35"/>
      <c r="CI36" s="4"/>
    </row>
  </sheetData>
  <mergeCells count="61">
    <mergeCell ref="K1:Q1"/>
    <mergeCell ref="S1:T1"/>
    <mergeCell ref="AI1:AN1"/>
    <mergeCell ref="AP1:AQ1"/>
    <mergeCell ref="BF1:BM1"/>
    <mergeCell ref="BO1:BP1"/>
    <mergeCell ref="CE1:CJ1"/>
    <mergeCell ref="CL1:CM1"/>
    <mergeCell ref="DA1:DF1"/>
    <mergeCell ref="DH1:DI1"/>
    <mergeCell ref="V1:V2"/>
    <mergeCell ref="V3:V4"/>
    <mergeCell ref="V5:V6"/>
    <mergeCell ref="V7:V8"/>
    <mergeCell ref="W1:W2"/>
    <mergeCell ref="W3:W4"/>
    <mergeCell ref="W5:W6"/>
    <mergeCell ref="W7:W8"/>
    <mergeCell ref="AS1:AS2"/>
    <mergeCell ref="AS3:AS4"/>
    <mergeCell ref="AS5:AS6"/>
    <mergeCell ref="AS7:AS8"/>
    <mergeCell ref="AT1:AT2"/>
    <mergeCell ref="AT3:AT4"/>
    <mergeCell ref="AT5:AT6"/>
    <mergeCell ref="AT7:AT8"/>
    <mergeCell ref="BR1:BR2"/>
    <mergeCell ref="BR3:BR4"/>
    <mergeCell ref="BR5:BR6"/>
    <mergeCell ref="BR7:BR8"/>
    <mergeCell ref="BS1:BS2"/>
    <mergeCell ref="BS3:BS4"/>
    <mergeCell ref="BS5:BS6"/>
    <mergeCell ref="BS7:BS8"/>
    <mergeCell ref="CO1:CO2"/>
    <mergeCell ref="CO3:CO4"/>
    <mergeCell ref="CO5:CO6"/>
    <mergeCell ref="CO7:CO8"/>
    <mergeCell ref="CP1:CP2"/>
    <mergeCell ref="CP3:CP4"/>
    <mergeCell ref="CP5:CP6"/>
    <mergeCell ref="CP7:CP8"/>
    <mergeCell ref="DK1:DK2"/>
    <mergeCell ref="DK3:DK4"/>
    <mergeCell ref="DK5:DK6"/>
    <mergeCell ref="DK7:DK8"/>
    <mergeCell ref="DL1:DL2"/>
    <mergeCell ref="DL3:DL4"/>
    <mergeCell ref="DL5:DL6"/>
    <mergeCell ref="DL7:DL8"/>
    <mergeCell ref="DN1:DQ2"/>
    <mergeCell ref="DN3:DO4"/>
    <mergeCell ref="DP3:DQ4"/>
    <mergeCell ref="DN5:DO6"/>
    <mergeCell ref="DP5:DQ6"/>
    <mergeCell ref="DN11:DO12"/>
    <mergeCell ref="DP11:DQ12"/>
    <mergeCell ref="DN7:DO8"/>
    <mergeCell ref="DP7:DQ8"/>
    <mergeCell ref="DN9:DO10"/>
    <mergeCell ref="DP9:DQ10"/>
  </mergeCells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K36"/>
  <sheetViews>
    <sheetView zoomScale="83" zoomScaleNormal="83" topLeftCell="CL1" workbookViewId="0">
      <selection activeCell="CN32" sqref="CN32"/>
    </sheetView>
  </sheetViews>
  <sheetFormatPr defaultColWidth="11" defaultRowHeight="14.4"/>
  <cols>
    <col min="1" max="8" width="11.712962962963" customWidth="1"/>
    <col min="9" max="9" width="1.71296296296296" customWidth="1"/>
    <col min="10" max="15" width="11.712962962963" customWidth="1"/>
    <col min="16" max="16" width="1.71296296296296" customWidth="1"/>
    <col min="17" max="18" width="11.712962962963" customWidth="1"/>
    <col min="19" max="19" width="1.71296296296296" customWidth="1"/>
    <col min="20" max="20" width="11.712962962963" customWidth="1"/>
    <col min="21" max="21" width="13.4259259259259" style="67" customWidth="1"/>
    <col min="23" max="28" width="10.8518518518519" customWidth="1"/>
    <col min="29" max="30" width="13.1388888888889" customWidth="1"/>
    <col min="31" max="31" width="1.71296296296296" customWidth="1"/>
    <col min="32" max="33" width="10.8518518518519" customWidth="1"/>
    <col min="34" max="34" width="13.712962962963" customWidth="1"/>
    <col min="35" max="35" width="10.8518518518519" customWidth="1"/>
    <col min="36" max="37" width="12" customWidth="1"/>
    <col min="38" max="38" width="1.71296296296296" customWidth="1"/>
    <col min="39" max="39" width="14.5740740740741" customWidth="1"/>
    <col min="40" max="40" width="13.712962962963" customWidth="1"/>
    <col min="41" max="41" width="1.71296296296296" customWidth="1"/>
    <col min="42" max="42" width="11.712962962963" customWidth="1"/>
    <col min="43" max="43" width="13.4259259259259" style="67" customWidth="1"/>
    <col min="45" max="45" width="10.8518518518519" customWidth="1"/>
    <col min="46" max="52" width="11.712962962963" customWidth="1"/>
    <col min="53" max="53" width="1.71296296296296" customWidth="1"/>
    <col min="54" max="58" width="11.712962962963" customWidth="1"/>
    <col min="59" max="59" width="12.287037037037" customWidth="1"/>
    <col min="60" max="60" width="1.71296296296296" customWidth="1"/>
    <col min="61" max="61" width="11.712962962963" customWidth="1"/>
    <col min="62" max="62" width="13.712962962963" customWidth="1"/>
    <col min="63" max="63" width="1.71296296296296" customWidth="1"/>
    <col min="64" max="64" width="11.712962962963" customWidth="1"/>
    <col min="65" max="65" width="13.4259259259259" style="67" customWidth="1"/>
    <col min="67" max="74" width="11.712962962963" customWidth="1"/>
    <col min="75" max="75" width="1.71296296296296" customWidth="1"/>
    <col min="76" max="81" width="11.712962962963" customWidth="1"/>
    <col min="82" max="82" width="1.71296296296296" customWidth="1"/>
    <col min="83" max="83" width="11.712962962963" customWidth="1"/>
    <col min="84" max="84" width="13.712962962963" customWidth="1"/>
    <col min="85" max="85" width="1.71296296296296" customWidth="1"/>
    <col min="86" max="86" width="11.712962962963" customWidth="1"/>
    <col min="87" max="87" width="14.5740740740741" style="67" customWidth="1"/>
    <col min="89" max="96" width="11.712962962963" customWidth="1"/>
    <col min="97" max="97" width="1.71296296296296" customWidth="1"/>
    <col min="98" max="104" width="11.712962962963" customWidth="1"/>
    <col min="105" max="105" width="1.71296296296296" customWidth="1"/>
    <col min="106" max="107" width="11.712962962963" customWidth="1"/>
    <col min="108" max="108" width="1.71296296296296" customWidth="1"/>
    <col min="109" max="109" width="11.712962962963" customWidth="1"/>
    <col min="110" max="110" width="14.5740740740741" style="67" customWidth="1"/>
    <col min="111" max="111" width="9.42592592592593" customWidth="1"/>
    <col min="112" max="112" width="8.28703703703704" customWidth="1"/>
    <col min="113" max="113" width="7.13888888888889" customWidth="1"/>
    <col min="114" max="114" width="6.85185185185185" customWidth="1"/>
    <col min="115" max="115" width="17.5740740740741" customWidth="1"/>
  </cols>
  <sheetData>
    <row r="1" ht="15" customHeight="1" spans="1:115">
      <c r="A1" s="10">
        <v>8500</v>
      </c>
      <c r="B1" s="10">
        <v>4000</v>
      </c>
      <c r="C1" s="10">
        <v>2500</v>
      </c>
      <c r="D1" s="10">
        <v>6000</v>
      </c>
      <c r="E1" s="10">
        <v>500</v>
      </c>
      <c r="F1" s="10">
        <v>9500</v>
      </c>
      <c r="G1" s="10"/>
      <c r="H1" s="10"/>
      <c r="I1" s="11"/>
      <c r="J1" s="13" t="s">
        <v>0</v>
      </c>
      <c r="K1" s="14"/>
      <c r="L1" s="14"/>
      <c r="M1" s="14"/>
      <c r="N1" s="14"/>
      <c r="O1" s="15"/>
      <c r="P1" s="11"/>
      <c r="Q1" s="16" t="s">
        <v>1</v>
      </c>
      <c r="R1" s="17"/>
      <c r="S1" s="11"/>
      <c r="T1" s="22" t="s">
        <v>2</v>
      </c>
      <c r="U1" s="69"/>
      <c r="V1" s="24"/>
      <c r="W1" s="10">
        <v>2000</v>
      </c>
      <c r="X1" s="10">
        <v>500</v>
      </c>
      <c r="Y1" s="10">
        <v>4500</v>
      </c>
      <c r="Z1" s="10">
        <v>6000</v>
      </c>
      <c r="AA1" s="10">
        <v>4000</v>
      </c>
      <c r="AB1" s="10">
        <v>10000</v>
      </c>
      <c r="AC1" s="10">
        <v>1000</v>
      </c>
      <c r="AD1" s="10">
        <v>528200</v>
      </c>
      <c r="AE1" s="11"/>
      <c r="AF1" s="13" t="s">
        <v>0</v>
      </c>
      <c r="AG1" s="14"/>
      <c r="AH1" s="14"/>
      <c r="AI1" s="14"/>
      <c r="AJ1" s="14"/>
      <c r="AK1" s="15"/>
      <c r="AL1" s="11"/>
      <c r="AM1" s="16" t="s">
        <v>1</v>
      </c>
      <c r="AN1" s="17"/>
      <c r="AO1" s="11"/>
      <c r="AP1" s="22" t="s">
        <v>2</v>
      </c>
      <c r="AQ1" s="69"/>
      <c r="AS1" s="10">
        <v>18000</v>
      </c>
      <c r="AT1" s="10">
        <v>500</v>
      </c>
      <c r="AU1" s="10">
        <v>3000</v>
      </c>
      <c r="AV1" s="10">
        <v>6000</v>
      </c>
      <c r="AW1" s="10">
        <v>6400</v>
      </c>
      <c r="AX1" s="10">
        <v>1600</v>
      </c>
      <c r="AY1" s="10">
        <v>4000</v>
      </c>
      <c r="AZ1" s="10">
        <v>4500</v>
      </c>
      <c r="BA1" s="11"/>
      <c r="BB1" s="13" t="s">
        <v>0</v>
      </c>
      <c r="BC1" s="14"/>
      <c r="BD1" s="14"/>
      <c r="BE1" s="14"/>
      <c r="BF1" s="14"/>
      <c r="BG1" s="15"/>
      <c r="BH1" s="11"/>
      <c r="BI1" s="16" t="s">
        <v>1</v>
      </c>
      <c r="BJ1" s="17"/>
      <c r="BK1" s="11"/>
      <c r="BL1" s="22" t="s">
        <v>2</v>
      </c>
      <c r="BM1" s="69"/>
      <c r="BO1" s="10">
        <v>3000</v>
      </c>
      <c r="BP1" s="10">
        <v>11000</v>
      </c>
      <c r="BQ1" s="10">
        <v>3500</v>
      </c>
      <c r="BR1" s="10">
        <v>1000</v>
      </c>
      <c r="BS1" s="10">
        <v>5500</v>
      </c>
      <c r="BT1" s="10">
        <v>2000</v>
      </c>
      <c r="BU1" s="10">
        <v>2000</v>
      </c>
      <c r="BV1" s="10">
        <v>469950</v>
      </c>
      <c r="BW1" s="11"/>
      <c r="BX1" s="13" t="s">
        <v>0</v>
      </c>
      <c r="BY1" s="14"/>
      <c r="BZ1" s="14"/>
      <c r="CA1" s="14"/>
      <c r="CB1" s="14"/>
      <c r="CC1" s="15"/>
      <c r="CD1" s="11"/>
      <c r="CE1" s="16" t="s">
        <v>1</v>
      </c>
      <c r="CF1" s="17"/>
      <c r="CG1" s="11"/>
      <c r="CH1" s="22" t="s">
        <v>2</v>
      </c>
      <c r="CI1" s="69"/>
      <c r="CK1" s="10">
        <v>1000</v>
      </c>
      <c r="CL1" s="10">
        <v>14000</v>
      </c>
      <c r="CM1" s="10">
        <v>33000</v>
      </c>
      <c r="CN1" s="10">
        <v>5000</v>
      </c>
      <c r="CO1" s="10">
        <v>3500</v>
      </c>
      <c r="CP1" s="10">
        <v>41700</v>
      </c>
      <c r="CQ1" s="10">
        <v>12000</v>
      </c>
      <c r="CR1" s="10"/>
      <c r="CS1" s="11"/>
      <c r="CT1" s="13" t="s">
        <v>0</v>
      </c>
      <c r="CU1" s="14"/>
      <c r="CV1" s="14"/>
      <c r="CW1" s="14"/>
      <c r="CX1" s="14"/>
      <c r="CY1" s="14"/>
      <c r="CZ1" s="15"/>
      <c r="DA1" s="11"/>
      <c r="DB1" s="16" t="s">
        <v>1</v>
      </c>
      <c r="DC1" s="17"/>
      <c r="DD1" s="11"/>
      <c r="DE1" s="22" t="s">
        <v>2</v>
      </c>
      <c r="DF1" s="69"/>
      <c r="DH1" s="37" t="s">
        <v>3</v>
      </c>
      <c r="DI1" s="45"/>
      <c r="DJ1" s="45"/>
      <c r="DK1" s="46"/>
    </row>
    <row r="2" ht="15" customHeight="1" spans="1:115">
      <c r="A2" s="12">
        <v>600</v>
      </c>
      <c r="B2" s="12">
        <v>3000</v>
      </c>
      <c r="C2" s="12">
        <v>600</v>
      </c>
      <c r="D2" s="12">
        <v>49000</v>
      </c>
      <c r="E2" s="12">
        <v>1600</v>
      </c>
      <c r="F2" s="12">
        <v>2500</v>
      </c>
      <c r="G2" s="12"/>
      <c r="H2" s="12"/>
      <c r="I2" s="11"/>
      <c r="J2" s="68">
        <v>4000</v>
      </c>
      <c r="K2" s="68">
        <v>5000</v>
      </c>
      <c r="L2" s="68">
        <v>4000</v>
      </c>
      <c r="M2" s="10">
        <v>4500</v>
      </c>
      <c r="N2" s="10">
        <v>10000</v>
      </c>
      <c r="O2" s="10">
        <v>4000</v>
      </c>
      <c r="P2" s="11"/>
      <c r="Q2" s="20" t="s">
        <v>82</v>
      </c>
      <c r="R2" s="10">
        <v>29000</v>
      </c>
      <c r="S2" s="11"/>
      <c r="T2" s="25"/>
      <c r="U2" s="70"/>
      <c r="V2" s="24"/>
      <c r="W2" s="12">
        <v>3500</v>
      </c>
      <c r="X2" s="12">
        <v>800</v>
      </c>
      <c r="Y2" s="12">
        <v>4000</v>
      </c>
      <c r="Z2" s="12">
        <v>2000</v>
      </c>
      <c r="AA2" s="12">
        <v>3000</v>
      </c>
      <c r="AB2" s="12">
        <v>9500</v>
      </c>
      <c r="AC2" s="12">
        <v>29000</v>
      </c>
      <c r="AD2" s="12">
        <v>1000</v>
      </c>
      <c r="AE2" s="11"/>
      <c r="AF2" s="68">
        <v>55600</v>
      </c>
      <c r="AG2" s="68">
        <v>3500</v>
      </c>
      <c r="AH2" s="68">
        <v>24000</v>
      </c>
      <c r="AI2" s="68">
        <v>2000</v>
      </c>
      <c r="AJ2" s="68">
        <v>23500</v>
      </c>
      <c r="AK2" s="68">
        <v>950300</v>
      </c>
      <c r="AL2" s="11"/>
      <c r="AM2" s="20" t="s">
        <v>187</v>
      </c>
      <c r="AN2" s="10">
        <v>341000</v>
      </c>
      <c r="AO2" s="11"/>
      <c r="AP2" s="25"/>
      <c r="AQ2" s="70"/>
      <c r="AS2" s="12">
        <v>2500</v>
      </c>
      <c r="AT2" s="12">
        <v>5800</v>
      </c>
      <c r="AU2" s="12">
        <v>3000</v>
      </c>
      <c r="AV2" s="12">
        <v>19000</v>
      </c>
      <c r="AW2" s="12">
        <v>2500</v>
      </c>
      <c r="AX2" s="12">
        <v>8000</v>
      </c>
      <c r="AY2" s="12">
        <v>3000</v>
      </c>
      <c r="AZ2" s="12">
        <v>1500</v>
      </c>
      <c r="BA2" s="11"/>
      <c r="BB2" s="68">
        <v>8000</v>
      </c>
      <c r="BC2" s="68">
        <v>14000</v>
      </c>
      <c r="BD2" s="68">
        <v>1500</v>
      </c>
      <c r="BE2" s="68">
        <v>6500</v>
      </c>
      <c r="BF2" s="68">
        <v>4000</v>
      </c>
      <c r="BG2" s="68">
        <v>14000</v>
      </c>
      <c r="BH2" s="11"/>
      <c r="BI2" s="20" t="s">
        <v>64</v>
      </c>
      <c r="BJ2" s="10">
        <v>20000</v>
      </c>
      <c r="BK2" s="11"/>
      <c r="BL2" s="25"/>
      <c r="BM2" s="70"/>
      <c r="BO2" s="12">
        <v>400</v>
      </c>
      <c r="BP2" s="12">
        <v>2500</v>
      </c>
      <c r="BQ2" s="12">
        <v>50200</v>
      </c>
      <c r="BR2" s="12">
        <v>7000</v>
      </c>
      <c r="BS2" s="12">
        <v>4500</v>
      </c>
      <c r="BT2" s="12">
        <v>5000</v>
      </c>
      <c r="BU2" s="12">
        <v>19000</v>
      </c>
      <c r="BV2" s="12">
        <v>4500</v>
      </c>
      <c r="BW2" s="11"/>
      <c r="BX2" s="68">
        <v>11500</v>
      </c>
      <c r="BY2" s="68">
        <v>3000</v>
      </c>
      <c r="BZ2" s="68">
        <v>77340</v>
      </c>
      <c r="CA2" s="68">
        <v>40000</v>
      </c>
      <c r="CB2" s="68">
        <v>3000</v>
      </c>
      <c r="CC2" s="68">
        <v>45000</v>
      </c>
      <c r="CD2" s="11"/>
      <c r="CE2" s="20" t="s">
        <v>151</v>
      </c>
      <c r="CF2" s="10">
        <v>87200</v>
      </c>
      <c r="CG2" s="11"/>
      <c r="CH2" s="25"/>
      <c r="CI2" s="70"/>
      <c r="CK2" s="12">
        <v>800</v>
      </c>
      <c r="CL2" s="12">
        <v>4500</v>
      </c>
      <c r="CM2" s="12">
        <v>8000</v>
      </c>
      <c r="CN2" s="12">
        <v>800</v>
      </c>
      <c r="CO2" s="12">
        <v>6700</v>
      </c>
      <c r="CP2" s="12">
        <v>5300</v>
      </c>
      <c r="CQ2" s="12">
        <v>20000</v>
      </c>
      <c r="CR2" s="12"/>
      <c r="CS2" s="11"/>
      <c r="CT2" s="68">
        <v>11000</v>
      </c>
      <c r="CU2" s="68">
        <v>500</v>
      </c>
      <c r="CV2" s="68">
        <v>5000</v>
      </c>
      <c r="CW2" s="10"/>
      <c r="CX2" s="68">
        <v>9500</v>
      </c>
      <c r="CY2" s="68">
        <v>4500</v>
      </c>
      <c r="CZ2" s="68">
        <v>3500</v>
      </c>
      <c r="DA2" s="11"/>
      <c r="DB2" s="20" t="s">
        <v>65</v>
      </c>
      <c r="DC2" s="10">
        <v>64200</v>
      </c>
      <c r="DD2" s="11"/>
      <c r="DE2" s="25"/>
      <c r="DF2" s="70"/>
      <c r="DH2" s="38"/>
      <c r="DI2" s="47"/>
      <c r="DJ2" s="47"/>
      <c r="DK2" s="48"/>
    </row>
    <row r="3" ht="15" customHeight="1" spans="1:115">
      <c r="A3" s="9">
        <v>26000</v>
      </c>
      <c r="B3" s="9">
        <v>1000</v>
      </c>
      <c r="C3" s="9">
        <v>400</v>
      </c>
      <c r="D3" s="9">
        <v>11000</v>
      </c>
      <c r="E3" s="9">
        <v>15000</v>
      </c>
      <c r="F3" s="9">
        <v>6500</v>
      </c>
      <c r="G3" s="9"/>
      <c r="H3" s="9"/>
      <c r="I3" s="11"/>
      <c r="J3" s="68">
        <v>5500</v>
      </c>
      <c r="K3" s="68">
        <v>18000</v>
      </c>
      <c r="L3" s="68">
        <v>4500</v>
      </c>
      <c r="M3" s="10">
        <v>4500</v>
      </c>
      <c r="N3" s="10">
        <v>9500</v>
      </c>
      <c r="O3" s="10">
        <v>40000</v>
      </c>
      <c r="P3" s="19"/>
      <c r="Q3" s="20" t="s">
        <v>58</v>
      </c>
      <c r="R3" s="10">
        <v>63150</v>
      </c>
      <c r="S3" s="11">
        <v>1</v>
      </c>
      <c r="T3" s="27" t="s">
        <v>9</v>
      </c>
      <c r="U3" s="69">
        <f>SUM(A1:I35)</f>
        <v>1723050</v>
      </c>
      <c r="V3" s="24"/>
      <c r="W3" s="9">
        <v>7000</v>
      </c>
      <c r="X3" s="9">
        <v>4500</v>
      </c>
      <c r="Y3" s="9">
        <v>1500</v>
      </c>
      <c r="Z3" s="9">
        <v>11000</v>
      </c>
      <c r="AA3" s="9">
        <v>8000</v>
      </c>
      <c r="AB3" s="9">
        <v>500</v>
      </c>
      <c r="AC3" s="9">
        <v>1500</v>
      </c>
      <c r="AD3" s="9">
        <v>1000</v>
      </c>
      <c r="AE3" s="11"/>
      <c r="AF3" s="68">
        <v>26900</v>
      </c>
      <c r="AG3" s="68">
        <v>2500</v>
      </c>
      <c r="AH3" s="68">
        <v>60000</v>
      </c>
      <c r="AI3" s="68">
        <v>8500</v>
      </c>
      <c r="AJ3" s="68">
        <v>2400</v>
      </c>
      <c r="AK3" s="68">
        <v>8700</v>
      </c>
      <c r="AL3" s="19"/>
      <c r="AM3" s="20" t="s">
        <v>188</v>
      </c>
      <c r="AN3" s="10">
        <v>81400</v>
      </c>
      <c r="AO3" s="11">
        <v>1</v>
      </c>
      <c r="AP3" s="27" t="s">
        <v>9</v>
      </c>
      <c r="AQ3" s="69">
        <f>SUM(W1:AE35)</f>
        <v>3101900</v>
      </c>
      <c r="AS3" s="9">
        <v>3500</v>
      </c>
      <c r="AT3" s="9">
        <v>40000</v>
      </c>
      <c r="AU3" s="9">
        <v>8000</v>
      </c>
      <c r="AV3" s="9">
        <v>2500</v>
      </c>
      <c r="AW3" s="9">
        <v>3500</v>
      </c>
      <c r="AX3" s="9">
        <v>47500</v>
      </c>
      <c r="AY3" s="9">
        <v>5700</v>
      </c>
      <c r="AZ3" s="9">
        <v>5000</v>
      </c>
      <c r="BA3" s="11"/>
      <c r="BB3" s="68">
        <v>6800</v>
      </c>
      <c r="BC3" s="68">
        <v>7000</v>
      </c>
      <c r="BD3" s="68">
        <v>8500</v>
      </c>
      <c r="BE3" s="68">
        <v>4000</v>
      </c>
      <c r="BF3" s="68">
        <v>3400</v>
      </c>
      <c r="BG3" s="68">
        <v>7700</v>
      </c>
      <c r="BH3" s="19"/>
      <c r="BI3" s="20" t="s">
        <v>52</v>
      </c>
      <c r="BJ3" s="10">
        <v>100000</v>
      </c>
      <c r="BK3" s="11">
        <v>1</v>
      </c>
      <c r="BL3" s="27" t="s">
        <v>9</v>
      </c>
      <c r="BM3" s="69">
        <f>SUM(AS1:BA35)</f>
        <v>2293100</v>
      </c>
      <c r="BO3" s="9">
        <v>3000</v>
      </c>
      <c r="BP3" s="9">
        <v>3000</v>
      </c>
      <c r="BQ3" s="9">
        <v>5500</v>
      </c>
      <c r="BR3" s="9">
        <v>4000</v>
      </c>
      <c r="BS3" s="9">
        <v>67500</v>
      </c>
      <c r="BT3" s="9">
        <v>4000</v>
      </c>
      <c r="BU3" s="9">
        <v>1500</v>
      </c>
      <c r="BV3" s="9">
        <v>13000</v>
      </c>
      <c r="BW3" s="11"/>
      <c r="BX3" s="68">
        <v>12000</v>
      </c>
      <c r="BY3" s="68">
        <v>7500</v>
      </c>
      <c r="BZ3" s="68">
        <v>26900</v>
      </c>
      <c r="CA3" s="68">
        <v>4500</v>
      </c>
      <c r="CB3" s="68">
        <v>34000</v>
      </c>
      <c r="CC3" s="68">
        <v>14300</v>
      </c>
      <c r="CD3" s="19"/>
      <c r="CE3" s="20" t="s">
        <v>154</v>
      </c>
      <c r="CF3" s="10">
        <v>246000</v>
      </c>
      <c r="CG3" s="11">
        <v>1</v>
      </c>
      <c r="CH3" s="27" t="s">
        <v>9</v>
      </c>
      <c r="CI3" s="69">
        <f>SUM(BO1:BW35)</f>
        <v>2682540</v>
      </c>
      <c r="CK3" s="9">
        <v>3500</v>
      </c>
      <c r="CL3" s="9">
        <v>2200</v>
      </c>
      <c r="CM3" s="9">
        <v>6500</v>
      </c>
      <c r="CN3" s="9">
        <v>9700</v>
      </c>
      <c r="CO3" s="9">
        <v>32500</v>
      </c>
      <c r="CP3" s="9">
        <v>17500</v>
      </c>
      <c r="CQ3" s="9">
        <v>2000</v>
      </c>
      <c r="CR3" s="9"/>
      <c r="CS3" s="11"/>
      <c r="CT3" s="68">
        <v>3820</v>
      </c>
      <c r="CU3" s="68">
        <v>30000</v>
      </c>
      <c r="CV3" s="68">
        <v>11500</v>
      </c>
      <c r="CW3" s="10"/>
      <c r="CX3" s="68">
        <v>4500</v>
      </c>
      <c r="CY3" s="68">
        <v>20000</v>
      </c>
      <c r="CZ3" s="68">
        <v>30000</v>
      </c>
      <c r="DA3" s="19"/>
      <c r="DB3" s="20" t="s">
        <v>35</v>
      </c>
      <c r="DC3" s="10">
        <v>832340</v>
      </c>
      <c r="DD3" s="11">
        <v>1</v>
      </c>
      <c r="DE3" s="27" t="s">
        <v>9</v>
      </c>
      <c r="DF3" s="69">
        <f>SUM(CK1:CR35)</f>
        <v>1816300</v>
      </c>
      <c r="DH3" s="39" t="s">
        <v>9</v>
      </c>
      <c r="DI3" s="49"/>
      <c r="DJ3" s="50">
        <f>SUM(U3,AQ3,BM3,CI3,DF3)</f>
        <v>11616890</v>
      </c>
      <c r="DK3" s="51"/>
    </row>
    <row r="4" ht="15" customHeight="1" spans="1:115">
      <c r="A4" s="9">
        <v>3500</v>
      </c>
      <c r="B4" s="9">
        <v>6000</v>
      </c>
      <c r="C4" s="9">
        <v>2400</v>
      </c>
      <c r="D4" s="9">
        <v>7500</v>
      </c>
      <c r="E4" s="9">
        <v>4000</v>
      </c>
      <c r="F4" s="9">
        <v>3500</v>
      </c>
      <c r="G4" s="9"/>
      <c r="H4" s="9"/>
      <c r="I4" s="11"/>
      <c r="J4" s="68">
        <v>2000</v>
      </c>
      <c r="K4" s="68">
        <v>10000</v>
      </c>
      <c r="L4" s="68">
        <v>1440</v>
      </c>
      <c r="M4" s="10">
        <v>3000</v>
      </c>
      <c r="N4" s="10">
        <v>1500</v>
      </c>
      <c r="O4" s="10">
        <v>10000</v>
      </c>
      <c r="P4" s="19"/>
      <c r="Q4" s="20" t="s">
        <v>100</v>
      </c>
      <c r="R4" s="10">
        <v>93800</v>
      </c>
      <c r="S4" s="11"/>
      <c r="T4" s="28"/>
      <c r="U4" s="70"/>
      <c r="V4" s="24"/>
      <c r="W4" s="9">
        <v>4000</v>
      </c>
      <c r="X4" s="9">
        <v>20000</v>
      </c>
      <c r="Y4" s="9">
        <v>200</v>
      </c>
      <c r="Z4" s="9">
        <v>24000</v>
      </c>
      <c r="AA4" s="9">
        <v>400</v>
      </c>
      <c r="AB4" s="9">
        <v>12500</v>
      </c>
      <c r="AC4" s="9">
        <v>3000</v>
      </c>
      <c r="AD4" s="9">
        <v>2000</v>
      </c>
      <c r="AE4" s="11"/>
      <c r="AF4" s="68">
        <v>500</v>
      </c>
      <c r="AG4" s="68">
        <v>5000</v>
      </c>
      <c r="AH4" s="68">
        <v>33620</v>
      </c>
      <c r="AI4" s="68">
        <v>65000</v>
      </c>
      <c r="AJ4" s="68">
        <v>5000</v>
      </c>
      <c r="AK4" s="68">
        <v>14000</v>
      </c>
      <c r="AL4" s="19"/>
      <c r="AM4" s="20" t="s">
        <v>186</v>
      </c>
      <c r="AN4" s="10">
        <v>102640</v>
      </c>
      <c r="AO4" s="11"/>
      <c r="AP4" s="28"/>
      <c r="AQ4" s="70"/>
      <c r="AS4" s="9">
        <v>6000</v>
      </c>
      <c r="AT4" s="9">
        <v>1800</v>
      </c>
      <c r="AU4" s="9">
        <v>500</v>
      </c>
      <c r="AV4" s="9">
        <v>6000</v>
      </c>
      <c r="AW4" s="9">
        <v>8500</v>
      </c>
      <c r="AX4" s="9">
        <v>5000</v>
      </c>
      <c r="AY4" s="9">
        <v>13500</v>
      </c>
      <c r="AZ4" s="9">
        <v>3800</v>
      </c>
      <c r="BA4" s="11"/>
      <c r="BB4" s="68">
        <v>13450</v>
      </c>
      <c r="BC4" s="68">
        <v>2000</v>
      </c>
      <c r="BD4" s="68">
        <v>9000</v>
      </c>
      <c r="BE4" s="68">
        <v>5000</v>
      </c>
      <c r="BF4" s="68">
        <v>12000</v>
      </c>
      <c r="BG4" s="68">
        <v>2500</v>
      </c>
      <c r="BH4" s="19"/>
      <c r="BI4" s="20" t="s">
        <v>189</v>
      </c>
      <c r="BJ4" s="10">
        <v>48090</v>
      </c>
      <c r="BK4" s="11"/>
      <c r="BL4" s="28"/>
      <c r="BM4" s="70"/>
      <c r="BO4" s="9">
        <v>7500</v>
      </c>
      <c r="BP4" s="9">
        <v>15000</v>
      </c>
      <c r="BQ4" s="9">
        <v>16900</v>
      </c>
      <c r="BR4" s="9">
        <v>1000</v>
      </c>
      <c r="BS4" s="9">
        <v>8800</v>
      </c>
      <c r="BT4" s="9">
        <v>6000</v>
      </c>
      <c r="BU4" s="9">
        <v>5500</v>
      </c>
      <c r="BV4" s="9">
        <v>10500</v>
      </c>
      <c r="BW4" s="11"/>
      <c r="BX4" s="68">
        <v>3000</v>
      </c>
      <c r="BY4" s="68">
        <v>39000</v>
      </c>
      <c r="BZ4" s="68">
        <v>24020</v>
      </c>
      <c r="CA4" s="68">
        <v>9600</v>
      </c>
      <c r="CB4" s="68">
        <v>5000</v>
      </c>
      <c r="CC4" s="68">
        <v>5100</v>
      </c>
      <c r="CD4" s="19"/>
      <c r="CE4" s="20" t="s">
        <v>190</v>
      </c>
      <c r="CF4" s="10">
        <v>25000</v>
      </c>
      <c r="CG4" s="11"/>
      <c r="CH4" s="28"/>
      <c r="CI4" s="70"/>
      <c r="CK4" s="9">
        <v>2500</v>
      </c>
      <c r="CL4" s="9">
        <v>3500</v>
      </c>
      <c r="CM4" s="9">
        <v>17900</v>
      </c>
      <c r="CN4" s="9">
        <v>3500</v>
      </c>
      <c r="CO4" s="9">
        <v>5000</v>
      </c>
      <c r="CP4" s="9">
        <v>1800</v>
      </c>
      <c r="CQ4" s="9">
        <v>500</v>
      </c>
      <c r="CR4" s="9"/>
      <c r="CS4" s="11"/>
      <c r="CT4" s="68">
        <v>17290</v>
      </c>
      <c r="CU4" s="68">
        <v>3820</v>
      </c>
      <c r="CV4" s="10"/>
      <c r="CW4" s="10"/>
      <c r="CX4" s="68">
        <v>11000</v>
      </c>
      <c r="CY4" s="68">
        <v>3000</v>
      </c>
      <c r="CZ4" s="68">
        <v>80000</v>
      </c>
      <c r="DA4" s="19"/>
      <c r="DB4" s="20" t="s">
        <v>55</v>
      </c>
      <c r="DC4" s="10">
        <v>17000</v>
      </c>
      <c r="DD4" s="11"/>
      <c r="DE4" s="28"/>
      <c r="DF4" s="70"/>
      <c r="DH4" s="40"/>
      <c r="DI4" s="52"/>
      <c r="DJ4" s="53"/>
      <c r="DK4" s="54"/>
    </row>
    <row r="5" ht="15" customHeight="1" spans="1:115">
      <c r="A5" s="9">
        <v>4500</v>
      </c>
      <c r="B5" s="9">
        <v>2000</v>
      </c>
      <c r="C5" s="9">
        <v>1000</v>
      </c>
      <c r="D5" s="9">
        <v>1500</v>
      </c>
      <c r="E5" s="9">
        <v>3500</v>
      </c>
      <c r="F5" s="9">
        <v>20000</v>
      </c>
      <c r="G5" s="9"/>
      <c r="H5" s="9"/>
      <c r="I5" s="11"/>
      <c r="J5" s="68">
        <v>7500</v>
      </c>
      <c r="K5" s="68">
        <v>4000</v>
      </c>
      <c r="L5" s="68">
        <v>4500</v>
      </c>
      <c r="M5" s="10">
        <v>4000</v>
      </c>
      <c r="N5" s="10">
        <v>6000</v>
      </c>
      <c r="O5" s="10">
        <v>2000</v>
      </c>
      <c r="P5" s="19"/>
      <c r="Q5" s="20" t="s">
        <v>146</v>
      </c>
      <c r="R5" s="10">
        <v>144700</v>
      </c>
      <c r="S5" s="11"/>
      <c r="T5" s="27" t="s">
        <v>17</v>
      </c>
      <c r="U5" s="69">
        <f>SUM(J2:O35)</f>
        <v>2352290</v>
      </c>
      <c r="V5" s="24"/>
      <c r="W5" s="9">
        <v>2500</v>
      </c>
      <c r="X5" s="9">
        <v>1500</v>
      </c>
      <c r="Y5" s="9">
        <v>1500</v>
      </c>
      <c r="Z5" s="9">
        <v>5800</v>
      </c>
      <c r="AA5" s="9">
        <v>5500</v>
      </c>
      <c r="AB5" s="9">
        <v>5000</v>
      </c>
      <c r="AC5" s="9">
        <v>7000</v>
      </c>
      <c r="AD5" s="9">
        <v>8000</v>
      </c>
      <c r="AE5" s="11"/>
      <c r="AF5" s="68">
        <v>24980</v>
      </c>
      <c r="AG5" s="68">
        <v>2880</v>
      </c>
      <c r="AH5" s="68">
        <v>8590</v>
      </c>
      <c r="AI5" s="68">
        <v>16400</v>
      </c>
      <c r="AJ5" s="68">
        <v>2000</v>
      </c>
      <c r="AK5" s="68">
        <v>5000</v>
      </c>
      <c r="AL5" s="19"/>
      <c r="AM5" s="20" t="s">
        <v>38</v>
      </c>
      <c r="AN5" s="10">
        <v>88000</v>
      </c>
      <c r="AO5" s="11"/>
      <c r="AP5" s="27" t="s">
        <v>17</v>
      </c>
      <c r="AQ5" s="69">
        <f>SUM(AF2:AK35)</f>
        <v>3898130</v>
      </c>
      <c r="AS5" s="9">
        <v>1500</v>
      </c>
      <c r="AT5" s="9">
        <v>31500</v>
      </c>
      <c r="AU5" s="9">
        <v>53000</v>
      </c>
      <c r="AV5" s="9">
        <v>4000</v>
      </c>
      <c r="AW5" s="9">
        <v>15000</v>
      </c>
      <c r="AX5" s="9">
        <v>8600</v>
      </c>
      <c r="AY5" s="9">
        <v>12000</v>
      </c>
      <c r="AZ5" s="9">
        <v>14000</v>
      </c>
      <c r="BA5" s="11"/>
      <c r="BB5" s="68">
        <v>500</v>
      </c>
      <c r="BC5" s="68">
        <v>5000</v>
      </c>
      <c r="BD5" s="68">
        <v>3020</v>
      </c>
      <c r="BE5" s="68">
        <v>2000</v>
      </c>
      <c r="BF5" s="68">
        <v>7500</v>
      </c>
      <c r="BG5" s="68">
        <v>100</v>
      </c>
      <c r="BH5" s="19"/>
      <c r="BI5" s="20" t="s">
        <v>44</v>
      </c>
      <c r="BJ5" s="10">
        <v>125000</v>
      </c>
      <c r="BK5" s="11"/>
      <c r="BL5" s="27" t="s">
        <v>17</v>
      </c>
      <c r="BM5" s="69">
        <f>SUM(BB2:BG35)</f>
        <v>2871560</v>
      </c>
      <c r="BO5" s="9">
        <v>5500</v>
      </c>
      <c r="BP5" s="9">
        <v>5500</v>
      </c>
      <c r="BQ5" s="9">
        <v>10000</v>
      </c>
      <c r="BR5" s="9">
        <v>1000</v>
      </c>
      <c r="BS5" s="9">
        <v>2200</v>
      </c>
      <c r="BT5" s="9">
        <v>1500</v>
      </c>
      <c r="BU5" s="9">
        <v>4000</v>
      </c>
      <c r="BV5" s="9">
        <v>7500</v>
      </c>
      <c r="BW5" s="11"/>
      <c r="BX5" s="68">
        <v>59560</v>
      </c>
      <c r="BY5" s="68">
        <v>8000</v>
      </c>
      <c r="BZ5" s="68">
        <v>12000</v>
      </c>
      <c r="CA5" s="68">
        <v>3500</v>
      </c>
      <c r="CB5" s="68">
        <v>13500</v>
      </c>
      <c r="CC5" s="68">
        <v>1000</v>
      </c>
      <c r="CD5" s="19"/>
      <c r="CE5" s="20" t="s">
        <v>22</v>
      </c>
      <c r="CF5" s="10">
        <v>1191700</v>
      </c>
      <c r="CG5" s="11"/>
      <c r="CH5" s="27" t="s">
        <v>17</v>
      </c>
      <c r="CI5" s="69">
        <f>SUM(BX2:CC35)</f>
        <v>2483870</v>
      </c>
      <c r="CK5" s="9">
        <v>11000</v>
      </c>
      <c r="CL5" s="9">
        <v>2500</v>
      </c>
      <c r="CM5" s="9">
        <v>3000</v>
      </c>
      <c r="CN5" s="9">
        <v>5500</v>
      </c>
      <c r="CO5" s="9">
        <v>15000</v>
      </c>
      <c r="CP5" s="9">
        <v>22000</v>
      </c>
      <c r="CQ5" s="9">
        <v>5000</v>
      </c>
      <c r="CR5" s="9"/>
      <c r="CS5" s="11"/>
      <c r="CT5" s="68">
        <v>11600</v>
      </c>
      <c r="CU5" s="68">
        <v>11000</v>
      </c>
      <c r="CV5" s="10"/>
      <c r="CW5" s="10"/>
      <c r="CX5" s="68">
        <v>10000</v>
      </c>
      <c r="CY5" s="68">
        <v>8000</v>
      </c>
      <c r="CZ5" s="68">
        <v>8000</v>
      </c>
      <c r="DA5" s="19"/>
      <c r="DB5" s="20" t="s">
        <v>58</v>
      </c>
      <c r="DC5" s="10">
        <v>125200</v>
      </c>
      <c r="DD5" s="11"/>
      <c r="DE5" s="27" t="s">
        <v>17</v>
      </c>
      <c r="DF5" s="69">
        <f>SUM(CT2:CZ35)</f>
        <v>2628505</v>
      </c>
      <c r="DH5" s="39" t="s">
        <v>17</v>
      </c>
      <c r="DI5" s="49"/>
      <c r="DJ5" s="50">
        <f>SUM(U5,AQ5,BM5,CI5,DF5)</f>
        <v>14234355</v>
      </c>
      <c r="DK5" s="51"/>
    </row>
    <row r="6" ht="15" customHeight="1" spans="1:115">
      <c r="A6" s="9">
        <v>1500</v>
      </c>
      <c r="B6" s="9">
        <v>1500</v>
      </c>
      <c r="C6" s="9">
        <v>35000</v>
      </c>
      <c r="D6" s="9">
        <v>6000</v>
      </c>
      <c r="E6" s="9">
        <v>10000</v>
      </c>
      <c r="F6" s="9">
        <v>12700</v>
      </c>
      <c r="G6" s="9"/>
      <c r="H6" s="9"/>
      <c r="I6" s="11"/>
      <c r="J6" s="68">
        <v>2800</v>
      </c>
      <c r="K6" s="68">
        <v>11600</v>
      </c>
      <c r="L6" s="68">
        <v>9500</v>
      </c>
      <c r="M6" s="10">
        <v>19000</v>
      </c>
      <c r="N6" s="10">
        <v>60000</v>
      </c>
      <c r="O6" s="10">
        <v>600</v>
      </c>
      <c r="P6" s="19"/>
      <c r="Q6" s="20" t="s">
        <v>191</v>
      </c>
      <c r="R6" s="10">
        <v>65000</v>
      </c>
      <c r="S6" s="11"/>
      <c r="T6" s="28"/>
      <c r="U6" s="70"/>
      <c r="V6" s="24"/>
      <c r="W6" s="9">
        <v>2500</v>
      </c>
      <c r="X6" s="9">
        <v>4800</v>
      </c>
      <c r="Y6" s="9">
        <v>3000</v>
      </c>
      <c r="Z6" s="9">
        <v>2000</v>
      </c>
      <c r="AA6" s="9">
        <v>12500</v>
      </c>
      <c r="AB6" s="9">
        <v>17000</v>
      </c>
      <c r="AC6" s="9">
        <v>6000</v>
      </c>
      <c r="AD6" s="9">
        <v>1500</v>
      </c>
      <c r="AE6" s="11"/>
      <c r="AF6" s="68">
        <v>1920</v>
      </c>
      <c r="AG6" s="68">
        <v>26420</v>
      </c>
      <c r="AH6" s="68">
        <v>8000</v>
      </c>
      <c r="AI6" s="68">
        <v>1500</v>
      </c>
      <c r="AJ6" s="68">
        <v>2300</v>
      </c>
      <c r="AK6" s="68">
        <v>29300</v>
      </c>
      <c r="AL6" s="19"/>
      <c r="AM6" s="20" t="s">
        <v>56</v>
      </c>
      <c r="AN6" s="10">
        <v>271000</v>
      </c>
      <c r="AO6" s="11"/>
      <c r="AP6" s="28"/>
      <c r="AQ6" s="70"/>
      <c r="AS6" s="9">
        <v>26000</v>
      </c>
      <c r="AT6" s="9">
        <v>12000</v>
      </c>
      <c r="AU6" s="9">
        <v>5000</v>
      </c>
      <c r="AV6" s="9">
        <v>49500</v>
      </c>
      <c r="AW6" s="9">
        <v>1000</v>
      </c>
      <c r="AX6" s="9">
        <v>1500</v>
      </c>
      <c r="AY6" s="9">
        <v>26000</v>
      </c>
      <c r="AZ6" s="9">
        <v>6000</v>
      </c>
      <c r="BA6" s="11"/>
      <c r="BB6" s="68">
        <v>3200</v>
      </c>
      <c r="BC6" s="68">
        <v>2500</v>
      </c>
      <c r="BD6" s="68">
        <v>17500</v>
      </c>
      <c r="BE6" s="68">
        <v>6500</v>
      </c>
      <c r="BF6" s="68">
        <v>15000</v>
      </c>
      <c r="BG6" s="68">
        <v>2500</v>
      </c>
      <c r="BH6" s="19"/>
      <c r="BI6" s="20" t="s">
        <v>45</v>
      </c>
      <c r="BJ6" s="10">
        <v>35000</v>
      </c>
      <c r="BK6" s="11"/>
      <c r="BL6" s="28"/>
      <c r="BM6" s="70"/>
      <c r="BO6" s="9">
        <v>1500</v>
      </c>
      <c r="BP6" s="9">
        <v>5000</v>
      </c>
      <c r="BQ6" s="9">
        <v>500</v>
      </c>
      <c r="BR6" s="9">
        <v>3000</v>
      </c>
      <c r="BS6" s="9">
        <v>6200</v>
      </c>
      <c r="BT6" s="9">
        <v>3000</v>
      </c>
      <c r="BU6" s="9">
        <v>3000</v>
      </c>
      <c r="BV6" s="9">
        <v>6000</v>
      </c>
      <c r="BW6" s="11"/>
      <c r="BX6" s="68">
        <v>2110</v>
      </c>
      <c r="BY6" s="68">
        <v>5090</v>
      </c>
      <c r="BZ6" s="68">
        <v>3360</v>
      </c>
      <c r="CA6" s="68">
        <v>8000</v>
      </c>
      <c r="CB6" s="68">
        <v>3500</v>
      </c>
      <c r="CC6" s="68">
        <v>10000</v>
      </c>
      <c r="CD6" s="19"/>
      <c r="CE6" s="20" t="s">
        <v>192</v>
      </c>
      <c r="CF6" s="10">
        <v>68900</v>
      </c>
      <c r="CG6" s="11"/>
      <c r="CH6" s="28"/>
      <c r="CI6" s="70"/>
      <c r="CK6" s="9">
        <v>1200</v>
      </c>
      <c r="CL6" s="9">
        <v>27500</v>
      </c>
      <c r="CM6" s="9">
        <v>40000</v>
      </c>
      <c r="CN6" s="9">
        <v>4200</v>
      </c>
      <c r="CO6" s="9">
        <v>1500</v>
      </c>
      <c r="CP6" s="9">
        <v>4500</v>
      </c>
      <c r="CQ6" s="9">
        <v>4500</v>
      </c>
      <c r="CR6" s="9"/>
      <c r="CS6" s="11"/>
      <c r="CT6" s="68">
        <v>5500</v>
      </c>
      <c r="CU6" s="68">
        <v>6500</v>
      </c>
      <c r="CV6" s="10"/>
      <c r="CW6" s="10"/>
      <c r="CX6" s="68">
        <v>45000</v>
      </c>
      <c r="CY6" s="68">
        <v>30000</v>
      </c>
      <c r="CZ6" s="68">
        <v>1750</v>
      </c>
      <c r="DA6" s="19"/>
      <c r="DB6" s="20" t="s">
        <v>52</v>
      </c>
      <c r="DC6" s="10">
        <v>120000</v>
      </c>
      <c r="DD6" s="11"/>
      <c r="DE6" s="28"/>
      <c r="DF6" s="70"/>
      <c r="DH6" s="40"/>
      <c r="DI6" s="52"/>
      <c r="DJ6" s="53"/>
      <c r="DK6" s="54"/>
    </row>
    <row r="7" ht="15" customHeight="1" spans="1:115">
      <c r="A7" s="9">
        <v>1000</v>
      </c>
      <c r="B7" s="9">
        <v>4500</v>
      </c>
      <c r="C7" s="9">
        <v>5500</v>
      </c>
      <c r="D7" s="9">
        <v>12500</v>
      </c>
      <c r="E7" s="9">
        <v>1500</v>
      </c>
      <c r="F7" s="9">
        <v>14200</v>
      </c>
      <c r="G7" s="9"/>
      <c r="H7" s="9"/>
      <c r="I7" s="11"/>
      <c r="J7" s="68">
        <v>13500</v>
      </c>
      <c r="K7" s="68">
        <v>57000</v>
      </c>
      <c r="L7" s="68">
        <v>24000</v>
      </c>
      <c r="M7" s="10">
        <v>12000</v>
      </c>
      <c r="N7" s="10">
        <v>3000</v>
      </c>
      <c r="O7" s="10">
        <v>29000</v>
      </c>
      <c r="P7" s="19"/>
      <c r="Q7" s="20" t="s">
        <v>129</v>
      </c>
      <c r="R7" s="10">
        <v>806630</v>
      </c>
      <c r="S7" s="11"/>
      <c r="T7" s="27" t="s">
        <v>1</v>
      </c>
      <c r="U7" s="69">
        <f>SUM(R2:R35)</f>
        <v>2801390</v>
      </c>
      <c r="V7" s="24"/>
      <c r="W7" s="9">
        <v>1000</v>
      </c>
      <c r="X7" s="9">
        <v>6000</v>
      </c>
      <c r="Y7" s="9">
        <v>44500</v>
      </c>
      <c r="Z7" s="9">
        <v>2000</v>
      </c>
      <c r="AA7" s="9">
        <v>500</v>
      </c>
      <c r="AB7" s="9">
        <v>5000</v>
      </c>
      <c r="AC7" s="9">
        <v>7600</v>
      </c>
      <c r="AD7" s="9">
        <v>4000</v>
      </c>
      <c r="AE7" s="11"/>
      <c r="AF7" s="68">
        <v>24020</v>
      </c>
      <c r="AG7" s="68">
        <v>61700</v>
      </c>
      <c r="AH7" s="68">
        <v>3000</v>
      </c>
      <c r="AI7" s="68">
        <v>7000</v>
      </c>
      <c r="AJ7" s="68">
        <v>9200</v>
      </c>
      <c r="AK7" s="68">
        <v>25600</v>
      </c>
      <c r="AL7" s="19"/>
      <c r="AM7" s="20" t="s">
        <v>44</v>
      </c>
      <c r="AN7" s="10">
        <v>100000</v>
      </c>
      <c r="AO7" s="11"/>
      <c r="AP7" s="27" t="s">
        <v>1</v>
      </c>
      <c r="AQ7" s="69">
        <f>SUM(AN2:AN35)</f>
        <v>5519790</v>
      </c>
      <c r="AS7" s="9">
        <v>2000</v>
      </c>
      <c r="AT7" s="9">
        <v>1200</v>
      </c>
      <c r="AU7" s="9">
        <v>19000</v>
      </c>
      <c r="AV7" s="9">
        <v>5000</v>
      </c>
      <c r="AW7" s="9">
        <v>16500</v>
      </c>
      <c r="AX7" s="9">
        <v>30000</v>
      </c>
      <c r="AY7" s="9">
        <v>15000</v>
      </c>
      <c r="AZ7" s="9">
        <v>4000</v>
      </c>
      <c r="BA7" s="11"/>
      <c r="BB7" s="68">
        <v>4000</v>
      </c>
      <c r="BC7" s="68">
        <v>1500</v>
      </c>
      <c r="BD7" s="68">
        <v>17500</v>
      </c>
      <c r="BE7" s="68">
        <v>11000</v>
      </c>
      <c r="BF7" s="68">
        <v>29000</v>
      </c>
      <c r="BG7" s="68">
        <v>4500</v>
      </c>
      <c r="BH7" s="19"/>
      <c r="BI7" s="20" t="s">
        <v>76</v>
      </c>
      <c r="BJ7" s="10">
        <v>39000</v>
      </c>
      <c r="BK7" s="11"/>
      <c r="BL7" s="27" t="s">
        <v>1</v>
      </c>
      <c r="BM7" s="69">
        <f>SUM(BJ2:BJ35)</f>
        <v>4610436</v>
      </c>
      <c r="BO7" s="9">
        <v>10000</v>
      </c>
      <c r="BP7" s="9">
        <v>4000</v>
      </c>
      <c r="BQ7" s="9">
        <v>9500</v>
      </c>
      <c r="BR7" s="9">
        <v>22500</v>
      </c>
      <c r="BS7" s="9">
        <v>2500</v>
      </c>
      <c r="BT7" s="9">
        <v>2500</v>
      </c>
      <c r="BU7" s="9">
        <v>4500</v>
      </c>
      <c r="BV7" s="9">
        <v>12500</v>
      </c>
      <c r="BW7" s="11"/>
      <c r="BX7" s="68">
        <v>27860</v>
      </c>
      <c r="BY7" s="68">
        <v>900</v>
      </c>
      <c r="BZ7" s="68">
        <v>7920</v>
      </c>
      <c r="CA7" s="68">
        <v>4000</v>
      </c>
      <c r="CB7" s="68">
        <v>2000</v>
      </c>
      <c r="CC7" s="68">
        <v>5750</v>
      </c>
      <c r="CD7" s="19"/>
      <c r="CE7" s="20" t="s">
        <v>28</v>
      </c>
      <c r="CF7" s="10">
        <v>140000</v>
      </c>
      <c r="CG7" s="11"/>
      <c r="CH7" s="27" t="s">
        <v>1</v>
      </c>
      <c r="CI7" s="69">
        <f>SUM(CF2:CF35)</f>
        <v>6544810</v>
      </c>
      <c r="CK7" s="9">
        <v>4500</v>
      </c>
      <c r="CL7" s="9">
        <v>1000</v>
      </c>
      <c r="CM7" s="9">
        <v>2000</v>
      </c>
      <c r="CN7" s="9">
        <v>5500</v>
      </c>
      <c r="CO7" s="9">
        <v>600</v>
      </c>
      <c r="CP7" s="9">
        <v>22200</v>
      </c>
      <c r="CQ7" s="9">
        <v>16500</v>
      </c>
      <c r="CR7" s="9"/>
      <c r="CS7" s="11"/>
      <c r="CT7" s="68">
        <v>4500</v>
      </c>
      <c r="CU7" s="68">
        <v>18000</v>
      </c>
      <c r="CV7" s="10"/>
      <c r="CW7" s="10"/>
      <c r="CX7" s="68">
        <v>46000</v>
      </c>
      <c r="CY7" s="68">
        <v>27500</v>
      </c>
      <c r="CZ7" s="68">
        <v>4900</v>
      </c>
      <c r="DA7" s="19"/>
      <c r="DB7" s="20" t="s">
        <v>146</v>
      </c>
      <c r="DC7" s="10">
        <v>297250</v>
      </c>
      <c r="DD7" s="11"/>
      <c r="DE7" s="27" t="s">
        <v>1</v>
      </c>
      <c r="DF7" s="69">
        <f>SUM(DC2:DC35)</f>
        <v>4079683</v>
      </c>
      <c r="DH7" s="39" t="s">
        <v>1</v>
      </c>
      <c r="DI7" s="49"/>
      <c r="DJ7" s="50">
        <f>SUM(U7,AQ7,BM7,CI7,DF7)</f>
        <v>23556109</v>
      </c>
      <c r="DK7" s="51"/>
    </row>
    <row r="8" ht="15" customHeight="1" spans="1:115">
      <c r="A8" s="9">
        <v>15500</v>
      </c>
      <c r="B8" s="9">
        <v>20000</v>
      </c>
      <c r="C8" s="9">
        <v>12000</v>
      </c>
      <c r="D8" s="9">
        <v>15000</v>
      </c>
      <c r="E8" s="9">
        <v>2600</v>
      </c>
      <c r="F8" s="9">
        <v>19000</v>
      </c>
      <c r="G8" s="9"/>
      <c r="H8" s="9"/>
      <c r="I8" s="11"/>
      <c r="J8" s="68">
        <v>11500</v>
      </c>
      <c r="K8" s="68">
        <v>11000</v>
      </c>
      <c r="L8" s="10"/>
      <c r="M8" s="10">
        <v>7000</v>
      </c>
      <c r="N8" s="10">
        <v>27000</v>
      </c>
      <c r="O8" s="10">
        <v>6000</v>
      </c>
      <c r="P8" s="19"/>
      <c r="Q8" s="20" t="s">
        <v>101</v>
      </c>
      <c r="R8" s="10">
        <v>175700</v>
      </c>
      <c r="S8" s="11"/>
      <c r="T8" s="28"/>
      <c r="U8" s="70"/>
      <c r="V8" s="24"/>
      <c r="W8" s="9">
        <v>1000</v>
      </c>
      <c r="X8" s="9">
        <v>9800</v>
      </c>
      <c r="Y8" s="9">
        <v>4500</v>
      </c>
      <c r="Z8" s="9">
        <v>50000</v>
      </c>
      <c r="AA8" s="9">
        <v>1100</v>
      </c>
      <c r="AB8" s="9">
        <v>2000</v>
      </c>
      <c r="AC8" s="9">
        <v>5000</v>
      </c>
      <c r="AD8" s="9">
        <v>44500</v>
      </c>
      <c r="AE8" s="11"/>
      <c r="AF8" s="68">
        <v>10570</v>
      </c>
      <c r="AG8" s="68">
        <v>40500</v>
      </c>
      <c r="AH8" s="68">
        <v>8130</v>
      </c>
      <c r="AI8" s="68">
        <v>18000</v>
      </c>
      <c r="AJ8" s="68">
        <v>10000</v>
      </c>
      <c r="AK8" s="68">
        <v>5500</v>
      </c>
      <c r="AL8" s="19"/>
      <c r="AM8" s="20" t="s">
        <v>5</v>
      </c>
      <c r="AN8" s="10">
        <v>287800</v>
      </c>
      <c r="AO8" s="11"/>
      <c r="AP8" s="28"/>
      <c r="AQ8" s="70"/>
      <c r="AS8" s="9">
        <v>3000</v>
      </c>
      <c r="AT8" s="9">
        <v>4000</v>
      </c>
      <c r="AU8" s="9">
        <v>5000</v>
      </c>
      <c r="AV8" s="9">
        <v>5000</v>
      </c>
      <c r="AW8" s="9">
        <v>2000</v>
      </c>
      <c r="AX8" s="9">
        <v>7000</v>
      </c>
      <c r="AY8" s="9">
        <v>2000</v>
      </c>
      <c r="AZ8" s="9">
        <v>2000</v>
      </c>
      <c r="BA8" s="11"/>
      <c r="BB8" s="68">
        <v>4320</v>
      </c>
      <c r="BC8" s="68">
        <v>4320</v>
      </c>
      <c r="BD8" s="68">
        <v>53350</v>
      </c>
      <c r="BE8" s="68">
        <v>4000</v>
      </c>
      <c r="BF8" s="68">
        <v>280000</v>
      </c>
      <c r="BG8" s="68">
        <v>18000</v>
      </c>
      <c r="BH8" s="19"/>
      <c r="BI8" s="20" t="s">
        <v>140</v>
      </c>
      <c r="BJ8" s="10">
        <v>1131350</v>
      </c>
      <c r="BK8" s="11"/>
      <c r="BL8" s="28"/>
      <c r="BM8" s="70"/>
      <c r="BO8" s="9">
        <v>6500</v>
      </c>
      <c r="BP8" s="9">
        <v>29000</v>
      </c>
      <c r="BQ8" s="9">
        <v>40000</v>
      </c>
      <c r="BR8" s="9">
        <v>3000</v>
      </c>
      <c r="BS8" s="9">
        <v>3500</v>
      </c>
      <c r="BT8" s="9">
        <v>4500</v>
      </c>
      <c r="BU8" s="9">
        <v>2000</v>
      </c>
      <c r="BV8" s="9">
        <v>5200</v>
      </c>
      <c r="BW8" s="11"/>
      <c r="BX8" s="68">
        <v>5770</v>
      </c>
      <c r="BY8" s="68">
        <v>9000</v>
      </c>
      <c r="BZ8" s="68">
        <v>14320</v>
      </c>
      <c r="CA8" s="68">
        <v>7500</v>
      </c>
      <c r="CB8" s="68">
        <v>2000</v>
      </c>
      <c r="CC8" s="68">
        <v>14800</v>
      </c>
      <c r="CD8" s="19"/>
      <c r="CE8" s="20" t="s">
        <v>28</v>
      </c>
      <c r="CF8" s="10">
        <v>2000000</v>
      </c>
      <c r="CG8" s="11"/>
      <c r="CH8" s="28"/>
      <c r="CI8" s="70"/>
      <c r="CK8" s="9">
        <v>4300</v>
      </c>
      <c r="CL8" s="9">
        <v>12000</v>
      </c>
      <c r="CM8" s="9">
        <v>1500</v>
      </c>
      <c r="CN8" s="9">
        <v>1500</v>
      </c>
      <c r="CO8" s="9">
        <v>3100</v>
      </c>
      <c r="CP8" s="9">
        <v>1000</v>
      </c>
      <c r="CQ8" s="9">
        <v>1200</v>
      </c>
      <c r="CR8" s="9"/>
      <c r="CS8" s="11"/>
      <c r="CT8" s="68">
        <v>3500</v>
      </c>
      <c r="CU8" s="68">
        <v>82000</v>
      </c>
      <c r="CV8" s="10"/>
      <c r="CW8" s="10"/>
      <c r="CX8" s="68">
        <v>2000</v>
      </c>
      <c r="CY8" s="68">
        <v>11000</v>
      </c>
      <c r="CZ8" s="68">
        <v>3000</v>
      </c>
      <c r="DA8" s="19"/>
      <c r="DB8" s="20" t="s">
        <v>10</v>
      </c>
      <c r="DC8" s="10">
        <v>52260</v>
      </c>
      <c r="DD8" s="11"/>
      <c r="DE8" s="28"/>
      <c r="DF8" s="70"/>
      <c r="DH8" s="40"/>
      <c r="DI8" s="52"/>
      <c r="DJ8" s="53"/>
      <c r="DK8" s="54"/>
    </row>
    <row r="9" ht="15" customHeight="1" spans="1:115">
      <c r="A9" s="9">
        <v>3000</v>
      </c>
      <c r="B9" s="9">
        <v>5000</v>
      </c>
      <c r="C9" s="9">
        <v>4000</v>
      </c>
      <c r="D9" s="9">
        <v>5000</v>
      </c>
      <c r="E9" s="9">
        <v>28500</v>
      </c>
      <c r="F9" s="9"/>
      <c r="G9" s="9"/>
      <c r="H9" s="9"/>
      <c r="I9" s="11"/>
      <c r="J9" s="68">
        <v>6000</v>
      </c>
      <c r="K9" s="68">
        <v>28000</v>
      </c>
      <c r="L9" s="10"/>
      <c r="M9" s="10">
        <v>6100</v>
      </c>
      <c r="N9" s="10">
        <v>13000</v>
      </c>
      <c r="O9" s="10">
        <v>6000</v>
      </c>
      <c r="P9" s="19"/>
      <c r="Q9" s="20" t="s">
        <v>67</v>
      </c>
      <c r="R9" s="10">
        <v>170410</v>
      </c>
      <c r="S9" s="11"/>
      <c r="T9" s="29" t="s">
        <v>33</v>
      </c>
      <c r="U9" s="71">
        <f>U3+U5</f>
        <v>4075340</v>
      </c>
      <c r="V9" s="24"/>
      <c r="W9" s="9">
        <v>1500</v>
      </c>
      <c r="X9" s="9">
        <v>3900</v>
      </c>
      <c r="Y9" s="9">
        <v>6500</v>
      </c>
      <c r="Z9" s="9">
        <v>10000</v>
      </c>
      <c r="AA9" s="9">
        <v>8000</v>
      </c>
      <c r="AB9" s="9">
        <v>1500</v>
      </c>
      <c r="AC9" s="9">
        <v>14000</v>
      </c>
      <c r="AD9" s="9">
        <v>8000</v>
      </c>
      <c r="AE9" s="11"/>
      <c r="AF9" s="68">
        <v>6500</v>
      </c>
      <c r="AG9" s="68">
        <v>15700</v>
      </c>
      <c r="AH9" s="68">
        <v>18730</v>
      </c>
      <c r="AI9" s="68">
        <v>12000</v>
      </c>
      <c r="AJ9" s="68">
        <v>35000</v>
      </c>
      <c r="AK9" s="68">
        <v>7000</v>
      </c>
      <c r="AL9" s="19"/>
      <c r="AM9" s="20" t="s">
        <v>140</v>
      </c>
      <c r="AN9" s="10">
        <v>1254000</v>
      </c>
      <c r="AO9" s="11"/>
      <c r="AP9" s="29" t="s">
        <v>33</v>
      </c>
      <c r="AQ9" s="71">
        <f>AQ3+AQ5</f>
        <v>7000030</v>
      </c>
      <c r="AS9" s="9">
        <v>3500</v>
      </c>
      <c r="AT9" s="9">
        <v>16000</v>
      </c>
      <c r="AU9" s="9">
        <v>3000</v>
      </c>
      <c r="AV9" s="9">
        <v>2000</v>
      </c>
      <c r="AW9" s="9">
        <v>6000</v>
      </c>
      <c r="AX9" s="9">
        <v>7000</v>
      </c>
      <c r="AY9" s="9">
        <v>18000</v>
      </c>
      <c r="AZ9" s="9">
        <v>3000</v>
      </c>
      <c r="BA9" s="11"/>
      <c r="BB9" s="68">
        <v>13500</v>
      </c>
      <c r="BC9" s="68">
        <v>2500</v>
      </c>
      <c r="BD9" s="68">
        <v>15000</v>
      </c>
      <c r="BE9" s="68">
        <v>6500</v>
      </c>
      <c r="BF9" s="68">
        <v>35000</v>
      </c>
      <c r="BG9" s="68">
        <v>4500</v>
      </c>
      <c r="BH9" s="19"/>
      <c r="BI9" s="20" t="s">
        <v>137</v>
      </c>
      <c r="BJ9" s="10">
        <v>54600</v>
      </c>
      <c r="BK9" s="11"/>
      <c r="BL9" s="29" t="s">
        <v>33</v>
      </c>
      <c r="BM9" s="71">
        <f>BM3+BM5</f>
        <v>5164660</v>
      </c>
      <c r="BO9" s="9">
        <v>1500</v>
      </c>
      <c r="BP9" s="9">
        <v>10000</v>
      </c>
      <c r="BQ9" s="9">
        <v>4000</v>
      </c>
      <c r="BR9" s="9">
        <v>6500</v>
      </c>
      <c r="BS9" s="9">
        <v>6200</v>
      </c>
      <c r="BT9" s="9">
        <v>2500</v>
      </c>
      <c r="BU9" s="9">
        <v>2000</v>
      </c>
      <c r="BV9" s="9">
        <v>5000</v>
      </c>
      <c r="BW9" s="11"/>
      <c r="BX9" s="68">
        <v>7120</v>
      </c>
      <c r="BY9" s="68">
        <v>12000</v>
      </c>
      <c r="BZ9" s="68">
        <v>5800</v>
      </c>
      <c r="CA9" s="68">
        <v>3000</v>
      </c>
      <c r="CB9" s="68">
        <v>2500</v>
      </c>
      <c r="CC9" s="68">
        <v>5600</v>
      </c>
      <c r="CD9" s="19"/>
      <c r="CE9" s="20" t="s">
        <v>28</v>
      </c>
      <c r="CF9" s="10">
        <v>937700</v>
      </c>
      <c r="CG9" s="11"/>
      <c r="CH9" s="29" t="s">
        <v>33</v>
      </c>
      <c r="CI9" s="71">
        <f>CI3+CI5</f>
        <v>5166410</v>
      </c>
      <c r="CK9" s="9">
        <v>3500</v>
      </c>
      <c r="CL9" s="9">
        <v>2000</v>
      </c>
      <c r="CM9" s="9">
        <v>1000</v>
      </c>
      <c r="CN9" s="9">
        <v>800</v>
      </c>
      <c r="CO9" s="9">
        <v>1000</v>
      </c>
      <c r="CP9" s="9">
        <v>6900</v>
      </c>
      <c r="CQ9" s="9">
        <v>10000</v>
      </c>
      <c r="CR9" s="9"/>
      <c r="CS9" s="11"/>
      <c r="CT9" s="68">
        <v>4990</v>
      </c>
      <c r="CU9" s="68">
        <v>10560</v>
      </c>
      <c r="CV9" s="10"/>
      <c r="CW9" s="10"/>
      <c r="CX9" s="68">
        <v>3500</v>
      </c>
      <c r="CY9" s="68">
        <v>4500</v>
      </c>
      <c r="CZ9" s="68">
        <v>4500</v>
      </c>
      <c r="DA9" s="19"/>
      <c r="DB9" s="20" t="s">
        <v>101</v>
      </c>
      <c r="DC9" s="10">
        <v>415000</v>
      </c>
      <c r="DD9" s="11"/>
      <c r="DE9" s="29" t="s">
        <v>33</v>
      </c>
      <c r="DF9" s="71">
        <f>DF3+DF5</f>
        <v>4444805</v>
      </c>
      <c r="DH9" s="41" t="s">
        <v>33</v>
      </c>
      <c r="DI9" s="55"/>
      <c r="DJ9" s="56">
        <f>DJ3+DJ5</f>
        <v>25851245</v>
      </c>
      <c r="DK9" s="57"/>
    </row>
    <row r="10" ht="15" customHeight="1" spans="1:115">
      <c r="A10" s="9">
        <v>5000</v>
      </c>
      <c r="B10" s="9">
        <v>5000</v>
      </c>
      <c r="C10" s="9">
        <v>8000</v>
      </c>
      <c r="D10" s="9">
        <v>20000</v>
      </c>
      <c r="E10" s="9">
        <v>1000</v>
      </c>
      <c r="F10" s="9"/>
      <c r="G10" s="9"/>
      <c r="H10" s="9"/>
      <c r="I10" s="11"/>
      <c r="J10" s="68">
        <v>33140</v>
      </c>
      <c r="K10" s="68">
        <v>1500</v>
      </c>
      <c r="L10" s="10"/>
      <c r="M10" s="10">
        <v>3000</v>
      </c>
      <c r="N10" s="10">
        <v>4000</v>
      </c>
      <c r="O10" s="10">
        <v>8400</v>
      </c>
      <c r="P10" s="19"/>
      <c r="Q10" s="20" t="s">
        <v>11</v>
      </c>
      <c r="R10" s="10">
        <v>298000</v>
      </c>
      <c r="S10" s="11"/>
      <c r="T10" s="29" t="s">
        <v>36</v>
      </c>
      <c r="U10" s="71">
        <f>U1+U3+U5-U7+U15+U16</f>
        <v>1484370</v>
      </c>
      <c r="V10" s="24"/>
      <c r="W10" s="9">
        <v>2500</v>
      </c>
      <c r="X10" s="9">
        <v>3500</v>
      </c>
      <c r="Y10" s="9">
        <v>3000</v>
      </c>
      <c r="Z10" s="9">
        <v>900</v>
      </c>
      <c r="AA10" s="9">
        <v>1000</v>
      </c>
      <c r="AB10" s="9">
        <v>5000</v>
      </c>
      <c r="AC10" s="9">
        <v>1000</v>
      </c>
      <c r="AD10" s="9">
        <v>1000</v>
      </c>
      <c r="AE10" s="11"/>
      <c r="AF10" s="68">
        <v>12970</v>
      </c>
      <c r="AG10" s="68">
        <v>9120</v>
      </c>
      <c r="AH10" s="68">
        <v>9610</v>
      </c>
      <c r="AI10" s="68">
        <v>3500</v>
      </c>
      <c r="AJ10" s="68">
        <v>6000</v>
      </c>
      <c r="AK10" s="68">
        <v>1350</v>
      </c>
      <c r="AL10" s="19"/>
      <c r="AM10" s="20" t="s">
        <v>47</v>
      </c>
      <c r="AN10" s="10">
        <v>25000</v>
      </c>
      <c r="AO10" s="11"/>
      <c r="AP10" s="29" t="s">
        <v>36</v>
      </c>
      <c r="AQ10" s="71">
        <f>AQ1+AQ3+AQ5-AQ7+AQ15+AQ16</f>
        <v>1480240</v>
      </c>
      <c r="AS10" s="9">
        <v>10000</v>
      </c>
      <c r="AT10" s="9">
        <v>1000</v>
      </c>
      <c r="AU10" s="9">
        <v>1500</v>
      </c>
      <c r="AV10" s="9">
        <v>2000</v>
      </c>
      <c r="AW10" s="9">
        <v>2800</v>
      </c>
      <c r="AX10" s="9">
        <v>2500</v>
      </c>
      <c r="AY10" s="9">
        <v>26500</v>
      </c>
      <c r="AZ10" s="9">
        <v>8000</v>
      </c>
      <c r="BA10" s="11"/>
      <c r="BB10" s="68">
        <v>3000</v>
      </c>
      <c r="BC10" s="68">
        <v>3800</v>
      </c>
      <c r="BD10" s="68">
        <v>40000</v>
      </c>
      <c r="BE10" s="68">
        <v>9000</v>
      </c>
      <c r="BF10" s="68">
        <v>6000</v>
      </c>
      <c r="BG10" s="68">
        <v>24000</v>
      </c>
      <c r="BH10" s="19"/>
      <c r="BI10" s="20" t="s">
        <v>193</v>
      </c>
      <c r="BJ10" s="10">
        <v>21400</v>
      </c>
      <c r="BK10" s="11"/>
      <c r="BL10" s="29" t="s">
        <v>36</v>
      </c>
      <c r="BM10" s="71">
        <f>BM1+BM3+BM5-BM7+BM15+BM16</f>
        <v>1915924</v>
      </c>
      <c r="BO10" s="9">
        <v>9500</v>
      </c>
      <c r="BP10" s="9">
        <v>4500</v>
      </c>
      <c r="BQ10" s="9">
        <v>1000</v>
      </c>
      <c r="BR10" s="9">
        <v>1600</v>
      </c>
      <c r="BS10" s="9">
        <v>6500</v>
      </c>
      <c r="BT10" s="9">
        <v>1500</v>
      </c>
      <c r="BU10" s="9">
        <v>16000</v>
      </c>
      <c r="BV10" s="9">
        <v>1800</v>
      </c>
      <c r="BW10" s="11"/>
      <c r="BX10" s="68">
        <v>4800</v>
      </c>
      <c r="BY10" s="68">
        <v>33140</v>
      </c>
      <c r="BZ10" s="68">
        <v>19090</v>
      </c>
      <c r="CA10" s="68">
        <v>35000</v>
      </c>
      <c r="CB10" s="68">
        <v>14000</v>
      </c>
      <c r="CC10" s="68">
        <v>5500</v>
      </c>
      <c r="CD10" s="19"/>
      <c r="CE10" s="20" t="s">
        <v>136</v>
      </c>
      <c r="CF10" s="10">
        <v>88290</v>
      </c>
      <c r="CG10" s="11"/>
      <c r="CH10" s="29" t="s">
        <v>36</v>
      </c>
      <c r="CI10" s="71">
        <f>CI1+CI3+CI5-CI7+CI15+CI16</f>
        <v>284260</v>
      </c>
      <c r="CK10" s="9">
        <v>7000</v>
      </c>
      <c r="CL10" s="9">
        <v>3000</v>
      </c>
      <c r="CM10" s="9">
        <v>3500</v>
      </c>
      <c r="CN10" s="9">
        <v>3000</v>
      </c>
      <c r="CO10" s="9">
        <v>22000</v>
      </c>
      <c r="CP10" s="9">
        <v>18300</v>
      </c>
      <c r="CQ10" s="9">
        <v>25000</v>
      </c>
      <c r="CR10" s="9"/>
      <c r="CS10" s="11"/>
      <c r="CT10" s="68">
        <v>4200</v>
      </c>
      <c r="CU10" s="68">
        <v>7000</v>
      </c>
      <c r="CV10" s="10"/>
      <c r="CW10" s="10"/>
      <c r="CX10" s="68">
        <v>3000</v>
      </c>
      <c r="CY10" s="68">
        <v>5000</v>
      </c>
      <c r="CZ10" s="68">
        <v>3000</v>
      </c>
      <c r="DA10" s="19"/>
      <c r="DB10" s="20" t="s">
        <v>31</v>
      </c>
      <c r="DC10" s="10">
        <v>10700</v>
      </c>
      <c r="DD10" s="11"/>
      <c r="DE10" s="29" t="s">
        <v>36</v>
      </c>
      <c r="DF10" s="71">
        <f>DF1+DF3+DF5-DF7+DF15+DF16</f>
        <v>365122</v>
      </c>
      <c r="DH10" s="42"/>
      <c r="DI10" s="58"/>
      <c r="DJ10" s="59"/>
      <c r="DK10" s="60"/>
    </row>
    <row r="11" ht="15" customHeight="1" spans="1:115">
      <c r="A11" s="9">
        <v>800</v>
      </c>
      <c r="B11" s="9">
        <v>1500</v>
      </c>
      <c r="C11" s="9">
        <v>5500</v>
      </c>
      <c r="D11" s="9">
        <v>3200</v>
      </c>
      <c r="E11" s="9">
        <v>6500</v>
      </c>
      <c r="F11" s="9"/>
      <c r="G11" s="9"/>
      <c r="H11" s="9"/>
      <c r="I11" s="11"/>
      <c r="J11" s="68">
        <v>4000</v>
      </c>
      <c r="K11" s="74">
        <v>4500</v>
      </c>
      <c r="L11" s="10"/>
      <c r="M11" s="10">
        <v>1000</v>
      </c>
      <c r="N11" s="10">
        <v>9000</v>
      </c>
      <c r="O11" s="10">
        <v>30000</v>
      </c>
      <c r="P11" s="19"/>
      <c r="Q11" s="20" t="s">
        <v>34</v>
      </c>
      <c r="R11" s="10">
        <v>13000</v>
      </c>
      <c r="S11" s="11"/>
      <c r="T11" s="29" t="s">
        <v>40</v>
      </c>
      <c r="U11" s="71">
        <f>U9/7</f>
        <v>582191.428571429</v>
      </c>
      <c r="V11" s="24"/>
      <c r="W11" s="9">
        <v>11000</v>
      </c>
      <c r="X11" s="9">
        <v>1000</v>
      </c>
      <c r="Y11" s="9">
        <v>25000</v>
      </c>
      <c r="Z11" s="9">
        <v>1000</v>
      </c>
      <c r="AA11" s="9">
        <v>2500</v>
      </c>
      <c r="AB11" s="9">
        <v>13000</v>
      </c>
      <c r="AC11" s="9">
        <v>6000</v>
      </c>
      <c r="AD11" s="9">
        <v>10500</v>
      </c>
      <c r="AE11" s="11"/>
      <c r="AF11" s="68">
        <v>3840</v>
      </c>
      <c r="AG11" s="68">
        <v>39550</v>
      </c>
      <c r="AH11" s="68">
        <v>26100</v>
      </c>
      <c r="AI11" s="68">
        <v>4500</v>
      </c>
      <c r="AJ11" s="68">
        <v>14800</v>
      </c>
      <c r="AK11" s="68">
        <v>7000</v>
      </c>
      <c r="AL11" s="19"/>
      <c r="AM11" s="20" t="s">
        <v>52</v>
      </c>
      <c r="AN11" s="10">
        <v>151000</v>
      </c>
      <c r="AO11" s="11"/>
      <c r="AP11" s="29" t="s">
        <v>40</v>
      </c>
      <c r="AQ11" s="71">
        <f>AQ9/7</f>
        <v>1000004.28571429</v>
      </c>
      <c r="AS11" s="9">
        <v>1500</v>
      </c>
      <c r="AT11" s="9">
        <v>5000</v>
      </c>
      <c r="AU11" s="9">
        <v>8500</v>
      </c>
      <c r="AV11" s="9">
        <v>1000</v>
      </c>
      <c r="AW11" s="9">
        <v>9300</v>
      </c>
      <c r="AX11" s="9">
        <v>1500</v>
      </c>
      <c r="AY11" s="9">
        <v>17000</v>
      </c>
      <c r="AZ11" s="9">
        <v>26500</v>
      </c>
      <c r="BA11" s="11"/>
      <c r="BB11" s="68">
        <v>13450</v>
      </c>
      <c r="BC11" s="68">
        <v>6500</v>
      </c>
      <c r="BD11" s="68">
        <v>5000</v>
      </c>
      <c r="BE11" s="68">
        <v>18000</v>
      </c>
      <c r="BF11" s="68">
        <v>7000</v>
      </c>
      <c r="BG11" s="68">
        <v>42000</v>
      </c>
      <c r="BH11" s="19"/>
      <c r="BI11" s="20" t="s">
        <v>193</v>
      </c>
      <c r="BJ11" s="10">
        <v>25000</v>
      </c>
      <c r="BK11" s="11"/>
      <c r="BL11" s="29" t="s">
        <v>40</v>
      </c>
      <c r="BM11" s="71">
        <f>BM9/7</f>
        <v>737808.571428571</v>
      </c>
      <c r="BO11" s="9">
        <v>3500</v>
      </c>
      <c r="BP11" s="9">
        <v>3750</v>
      </c>
      <c r="BQ11" s="9">
        <v>5000</v>
      </c>
      <c r="BR11" s="9">
        <v>20000</v>
      </c>
      <c r="BS11" s="9">
        <v>7000</v>
      </c>
      <c r="BT11" s="9">
        <v>15000</v>
      </c>
      <c r="BU11" s="9">
        <v>1000</v>
      </c>
      <c r="BV11" s="9">
        <v>4600</v>
      </c>
      <c r="BW11" s="11"/>
      <c r="BX11" s="68">
        <v>18800</v>
      </c>
      <c r="BY11" s="68">
        <v>23060</v>
      </c>
      <c r="BZ11" s="68">
        <v>960</v>
      </c>
      <c r="CA11" s="68">
        <v>24500</v>
      </c>
      <c r="CB11" s="68">
        <v>10000</v>
      </c>
      <c r="CC11" s="68">
        <v>15000</v>
      </c>
      <c r="CD11" s="19"/>
      <c r="CE11" s="20" t="s">
        <v>123</v>
      </c>
      <c r="CF11" s="10">
        <v>159260</v>
      </c>
      <c r="CG11" s="11"/>
      <c r="CH11" s="29" t="s">
        <v>40</v>
      </c>
      <c r="CI11" s="71">
        <f>CI9/7</f>
        <v>738058.571428571</v>
      </c>
      <c r="CK11" s="9">
        <v>10000</v>
      </c>
      <c r="CL11" s="9">
        <v>2400</v>
      </c>
      <c r="CM11" s="9">
        <v>2000</v>
      </c>
      <c r="CN11" s="9">
        <v>3000</v>
      </c>
      <c r="CO11" s="9">
        <v>1500</v>
      </c>
      <c r="CP11" s="9">
        <v>2000</v>
      </c>
      <c r="CQ11" s="9">
        <v>2000</v>
      </c>
      <c r="CR11" s="9"/>
      <c r="CS11" s="11"/>
      <c r="CT11" s="68">
        <v>38800</v>
      </c>
      <c r="CU11" s="68">
        <v>50500</v>
      </c>
      <c r="CV11" s="10"/>
      <c r="CW11" s="10"/>
      <c r="CX11" s="68">
        <v>17500</v>
      </c>
      <c r="CY11" s="68">
        <v>18500</v>
      </c>
      <c r="CZ11" s="68">
        <v>21000</v>
      </c>
      <c r="DA11" s="19"/>
      <c r="DB11" s="20" t="s">
        <v>194</v>
      </c>
      <c r="DC11" s="10">
        <v>19100</v>
      </c>
      <c r="DD11" s="11"/>
      <c r="DE11" s="29" t="s">
        <v>40</v>
      </c>
      <c r="DF11" s="71">
        <f>DF9/7</f>
        <v>634972.142857143</v>
      </c>
      <c r="DH11" s="43" t="s">
        <v>36</v>
      </c>
      <c r="DI11" s="61"/>
      <c r="DJ11" s="62">
        <f>DJ9-DJ7</f>
        <v>2295136</v>
      </c>
      <c r="DK11" s="63"/>
    </row>
    <row r="12" ht="15" customHeight="1" spans="1:115">
      <c r="A12" s="9">
        <v>40000</v>
      </c>
      <c r="B12" s="9">
        <v>2500</v>
      </c>
      <c r="C12" s="9">
        <v>3500</v>
      </c>
      <c r="D12" s="9">
        <v>16400</v>
      </c>
      <c r="E12" s="9">
        <v>10000</v>
      </c>
      <c r="F12" s="9"/>
      <c r="G12" s="9"/>
      <c r="H12" s="9"/>
      <c r="I12" s="11"/>
      <c r="J12" s="68">
        <v>150030</v>
      </c>
      <c r="K12" s="68">
        <v>6000</v>
      </c>
      <c r="L12" s="10"/>
      <c r="M12" s="10">
        <v>20600</v>
      </c>
      <c r="N12" s="10">
        <v>1600</v>
      </c>
      <c r="O12" s="10">
        <v>6000</v>
      </c>
      <c r="P12" s="19"/>
      <c r="Q12" s="20" t="s">
        <v>69</v>
      </c>
      <c r="R12" s="10">
        <v>66000</v>
      </c>
      <c r="S12" s="11"/>
      <c r="T12" s="34"/>
      <c r="U12" s="72">
        <v>80000</v>
      </c>
      <c r="V12" s="24"/>
      <c r="W12" s="9">
        <v>1500</v>
      </c>
      <c r="X12" s="9">
        <v>3500</v>
      </c>
      <c r="Y12" s="9">
        <v>2500</v>
      </c>
      <c r="Z12" s="9">
        <v>5000</v>
      </c>
      <c r="AA12" s="9">
        <v>15000</v>
      </c>
      <c r="AB12" s="9">
        <v>17500</v>
      </c>
      <c r="AC12" s="9">
        <v>600</v>
      </c>
      <c r="AD12" s="9">
        <v>17000</v>
      </c>
      <c r="AE12" s="11"/>
      <c r="AF12" s="68">
        <v>14410</v>
      </c>
      <c r="AG12" s="68">
        <v>35000</v>
      </c>
      <c r="AH12" s="68">
        <v>15850</v>
      </c>
      <c r="AI12" s="68">
        <v>2500</v>
      </c>
      <c r="AJ12" s="68">
        <v>148000</v>
      </c>
      <c r="AK12" s="68">
        <v>24000</v>
      </c>
      <c r="AL12" s="19"/>
      <c r="AM12" s="20" t="s">
        <v>195</v>
      </c>
      <c r="AN12" s="10">
        <v>50000</v>
      </c>
      <c r="AO12" s="11"/>
      <c r="AP12" s="72"/>
      <c r="AQ12" s="72"/>
      <c r="AS12" s="9">
        <v>10000</v>
      </c>
      <c r="AT12" s="9">
        <v>5500</v>
      </c>
      <c r="AU12" s="9">
        <v>13000</v>
      </c>
      <c r="AV12" s="9">
        <v>12000</v>
      </c>
      <c r="AW12" s="9">
        <v>2500</v>
      </c>
      <c r="AX12" s="9">
        <v>2500</v>
      </c>
      <c r="AY12" s="9">
        <v>3500</v>
      </c>
      <c r="AZ12" s="9">
        <v>36500</v>
      </c>
      <c r="BA12" s="11"/>
      <c r="BB12" s="68">
        <v>30000</v>
      </c>
      <c r="BC12" s="68">
        <v>20170</v>
      </c>
      <c r="BD12" s="68">
        <v>8000</v>
      </c>
      <c r="BE12" s="68">
        <v>1500</v>
      </c>
      <c r="BF12" s="68">
        <v>39500</v>
      </c>
      <c r="BG12" s="68">
        <v>1500</v>
      </c>
      <c r="BH12" s="19"/>
      <c r="BI12" s="20" t="s">
        <v>58</v>
      </c>
      <c r="BJ12" s="10">
        <v>73300</v>
      </c>
      <c r="BK12" s="11"/>
      <c r="BL12" s="72"/>
      <c r="BM12" s="72">
        <v>703104</v>
      </c>
      <c r="BO12" s="9">
        <v>2100</v>
      </c>
      <c r="BP12" s="9">
        <v>1500</v>
      </c>
      <c r="BQ12" s="9">
        <v>3500</v>
      </c>
      <c r="BR12" s="9">
        <v>11500</v>
      </c>
      <c r="BS12" s="9">
        <v>6000</v>
      </c>
      <c r="BT12" s="9">
        <v>14500</v>
      </c>
      <c r="BU12" s="9">
        <v>19500</v>
      </c>
      <c r="BV12" s="9">
        <v>2400</v>
      </c>
      <c r="BW12" s="11"/>
      <c r="BX12" s="68">
        <v>42170</v>
      </c>
      <c r="BY12" s="68">
        <v>66500</v>
      </c>
      <c r="BZ12" s="68">
        <v>9550</v>
      </c>
      <c r="CA12" s="68">
        <v>45000</v>
      </c>
      <c r="CB12" s="68">
        <v>27500</v>
      </c>
      <c r="CC12" s="68">
        <v>8000</v>
      </c>
      <c r="CD12" s="19"/>
      <c r="CE12" s="20" t="s">
        <v>34</v>
      </c>
      <c r="CF12" s="10">
        <v>38000</v>
      </c>
      <c r="CG12" s="11"/>
      <c r="CH12" s="72"/>
      <c r="CI12" s="72">
        <v>937700</v>
      </c>
      <c r="CJ12" s="24"/>
      <c r="CK12" s="9">
        <v>800</v>
      </c>
      <c r="CL12" s="9">
        <v>6000</v>
      </c>
      <c r="CM12" s="9">
        <v>9500</v>
      </c>
      <c r="CN12" s="9">
        <v>9000</v>
      </c>
      <c r="CO12" s="9">
        <v>2000</v>
      </c>
      <c r="CP12" s="9">
        <v>1000</v>
      </c>
      <c r="CQ12" s="9">
        <v>1500</v>
      </c>
      <c r="CR12" s="9"/>
      <c r="CS12" s="11"/>
      <c r="CT12" s="68">
        <v>13450</v>
      </c>
      <c r="CU12" s="68">
        <v>130000</v>
      </c>
      <c r="CV12" s="10"/>
      <c r="CW12" s="10"/>
      <c r="CX12" s="68">
        <v>27600</v>
      </c>
      <c r="CY12" s="68">
        <v>40000</v>
      </c>
      <c r="CZ12" s="68">
        <v>15000</v>
      </c>
      <c r="DA12" s="19"/>
      <c r="DB12" s="20" t="s">
        <v>196</v>
      </c>
      <c r="DC12" s="10">
        <v>28000</v>
      </c>
      <c r="DD12" s="11"/>
      <c r="DE12" s="75"/>
      <c r="DF12" s="75">
        <v>297250</v>
      </c>
      <c r="DH12" s="44"/>
      <c r="DI12" s="64"/>
      <c r="DJ12" s="65"/>
      <c r="DK12" s="66"/>
    </row>
    <row r="13" spans="1:110">
      <c r="A13" s="9">
        <v>12000</v>
      </c>
      <c r="B13" s="9">
        <v>14000</v>
      </c>
      <c r="C13" s="9">
        <v>6500</v>
      </c>
      <c r="D13" s="9">
        <v>5500</v>
      </c>
      <c r="E13" s="9">
        <v>1300</v>
      </c>
      <c r="F13" s="9"/>
      <c r="G13" s="9"/>
      <c r="H13" s="9"/>
      <c r="I13" s="11"/>
      <c r="J13" s="68">
        <v>2860</v>
      </c>
      <c r="K13" s="68">
        <v>3000</v>
      </c>
      <c r="L13" s="10"/>
      <c r="M13" s="10">
        <v>15000</v>
      </c>
      <c r="N13" s="10">
        <v>7000</v>
      </c>
      <c r="O13" s="10">
        <v>5000</v>
      </c>
      <c r="P13" s="19"/>
      <c r="Q13" s="20" t="s">
        <v>34</v>
      </c>
      <c r="R13" s="10">
        <v>26000</v>
      </c>
      <c r="S13" s="11"/>
      <c r="T13" s="34"/>
      <c r="U13" s="72">
        <v>13000</v>
      </c>
      <c r="V13" s="24"/>
      <c r="W13" s="9">
        <v>2500</v>
      </c>
      <c r="X13" s="9">
        <v>2000</v>
      </c>
      <c r="Y13" s="9">
        <v>12000</v>
      </c>
      <c r="Z13" s="9">
        <v>2500</v>
      </c>
      <c r="AA13" s="9">
        <v>10000</v>
      </c>
      <c r="AB13" s="9">
        <v>500</v>
      </c>
      <c r="AC13" s="9">
        <v>8000</v>
      </c>
      <c r="AD13" s="9">
        <v>3500</v>
      </c>
      <c r="AE13" s="11"/>
      <c r="AF13" s="68">
        <v>4320</v>
      </c>
      <c r="AG13" s="68">
        <v>2400</v>
      </c>
      <c r="AH13" s="68">
        <v>15000</v>
      </c>
      <c r="AI13" s="68">
        <v>15000</v>
      </c>
      <c r="AJ13" s="68">
        <v>10600</v>
      </c>
      <c r="AK13" s="68">
        <v>36600</v>
      </c>
      <c r="AL13" s="19"/>
      <c r="AM13" s="20" t="s">
        <v>72</v>
      </c>
      <c r="AN13" s="10">
        <v>83800</v>
      </c>
      <c r="AO13" s="11"/>
      <c r="AP13" s="72"/>
      <c r="AQ13" s="72">
        <v>93400</v>
      </c>
      <c r="AS13" s="9">
        <v>4000</v>
      </c>
      <c r="AT13" s="9">
        <v>5000</v>
      </c>
      <c r="AU13" s="9">
        <v>2500</v>
      </c>
      <c r="AV13" s="9">
        <v>11000</v>
      </c>
      <c r="AW13" s="9">
        <v>1000</v>
      </c>
      <c r="AX13" s="9">
        <v>1000</v>
      </c>
      <c r="AY13" s="9">
        <v>4000</v>
      </c>
      <c r="AZ13" s="9">
        <v>3500</v>
      </c>
      <c r="BA13" s="11"/>
      <c r="BB13" s="68">
        <v>7000</v>
      </c>
      <c r="BC13" s="68">
        <v>4320</v>
      </c>
      <c r="BD13" s="68">
        <v>2770</v>
      </c>
      <c r="BE13" s="68">
        <v>1000</v>
      </c>
      <c r="BF13" s="68">
        <v>5000</v>
      </c>
      <c r="BG13" s="68">
        <v>41000</v>
      </c>
      <c r="BH13" s="19"/>
      <c r="BI13" s="20" t="s">
        <v>55</v>
      </c>
      <c r="BJ13" s="10">
        <v>18600</v>
      </c>
      <c r="BK13" s="11"/>
      <c r="BL13" s="72"/>
      <c r="BM13" s="72">
        <v>119510</v>
      </c>
      <c r="BO13" s="9">
        <v>9500</v>
      </c>
      <c r="BP13" s="9">
        <v>2000</v>
      </c>
      <c r="BQ13" s="9">
        <v>5500</v>
      </c>
      <c r="BR13" s="9">
        <v>6000</v>
      </c>
      <c r="BS13" s="9">
        <v>5000</v>
      </c>
      <c r="BT13" s="9">
        <v>2400</v>
      </c>
      <c r="BU13" s="9">
        <v>24000</v>
      </c>
      <c r="BV13" s="9">
        <v>29000</v>
      </c>
      <c r="BW13" s="11"/>
      <c r="BX13" s="68">
        <v>12200</v>
      </c>
      <c r="BY13" s="68">
        <v>9370</v>
      </c>
      <c r="BZ13" s="68">
        <v>14360</v>
      </c>
      <c r="CA13" s="68">
        <v>8000</v>
      </c>
      <c r="CB13" s="68">
        <v>1500</v>
      </c>
      <c r="CC13" s="68">
        <v>6500</v>
      </c>
      <c r="CD13" s="19"/>
      <c r="CE13" s="20" t="s">
        <v>197</v>
      </c>
      <c r="CF13" s="10">
        <v>296000</v>
      </c>
      <c r="CG13" s="11"/>
      <c r="CH13" s="72"/>
      <c r="CI13" s="72">
        <v>81690</v>
      </c>
      <c r="CJ13" s="31"/>
      <c r="CK13" s="9">
        <v>20500</v>
      </c>
      <c r="CL13" s="9">
        <v>14000</v>
      </c>
      <c r="CM13" s="9">
        <v>58100</v>
      </c>
      <c r="CN13" s="9">
        <v>15000</v>
      </c>
      <c r="CO13" s="9">
        <v>8500</v>
      </c>
      <c r="CP13" s="9">
        <v>5500</v>
      </c>
      <c r="CQ13" s="9">
        <v>5000</v>
      </c>
      <c r="CR13" s="9"/>
      <c r="CS13" s="11"/>
      <c r="CT13" s="68">
        <v>1600</v>
      </c>
      <c r="CU13" s="68">
        <v>21620</v>
      </c>
      <c r="CV13" s="10"/>
      <c r="CW13" s="10"/>
      <c r="CX13" s="68">
        <v>10500</v>
      </c>
      <c r="CY13" s="68">
        <v>2500</v>
      </c>
      <c r="CZ13" s="68">
        <v>5770</v>
      </c>
      <c r="DA13" s="19"/>
      <c r="DB13" s="20" t="s">
        <v>11</v>
      </c>
      <c r="DC13" s="10">
        <v>522670</v>
      </c>
      <c r="DD13" s="11"/>
      <c r="DE13" s="75">
        <v>562163</v>
      </c>
      <c r="DF13" s="75">
        <v>64200</v>
      </c>
    </row>
    <row r="14" spans="1:110">
      <c r="A14" s="9">
        <v>2000</v>
      </c>
      <c r="B14" s="9">
        <v>700</v>
      </c>
      <c r="C14" s="9">
        <v>80000</v>
      </c>
      <c r="D14" s="9">
        <v>3000</v>
      </c>
      <c r="E14" s="9">
        <v>5000</v>
      </c>
      <c r="F14" s="9"/>
      <c r="G14" s="9"/>
      <c r="H14" s="9"/>
      <c r="I14" s="11"/>
      <c r="J14" s="68">
        <v>8910</v>
      </c>
      <c r="K14" s="68">
        <v>5540</v>
      </c>
      <c r="L14" s="10"/>
      <c r="M14" s="10">
        <v>2000</v>
      </c>
      <c r="N14" s="10">
        <v>7500</v>
      </c>
      <c r="O14" s="10">
        <v>37500</v>
      </c>
      <c r="P14" s="19"/>
      <c r="Q14" s="20" t="s">
        <v>191</v>
      </c>
      <c r="R14" s="10">
        <v>50000</v>
      </c>
      <c r="S14" s="11"/>
      <c r="T14" s="34"/>
      <c r="U14" s="72">
        <v>1371760</v>
      </c>
      <c r="V14" s="24"/>
      <c r="W14" s="9">
        <v>7000</v>
      </c>
      <c r="X14" s="9">
        <v>5000</v>
      </c>
      <c r="Y14" s="9">
        <v>45000</v>
      </c>
      <c r="Z14" s="9">
        <v>2000</v>
      </c>
      <c r="AA14" s="9">
        <v>12500</v>
      </c>
      <c r="AB14" s="9">
        <v>1000</v>
      </c>
      <c r="AC14" s="9">
        <v>3000</v>
      </c>
      <c r="AD14" s="9">
        <v>4500</v>
      </c>
      <c r="AE14" s="11"/>
      <c r="AF14" s="68">
        <v>62810</v>
      </c>
      <c r="AG14" s="68">
        <v>12490</v>
      </c>
      <c r="AH14" s="68">
        <v>8160</v>
      </c>
      <c r="AI14" s="68">
        <v>9000</v>
      </c>
      <c r="AJ14" s="68">
        <v>14000</v>
      </c>
      <c r="AK14" s="68">
        <v>1600</v>
      </c>
      <c r="AL14" s="19"/>
      <c r="AM14" s="20" t="s">
        <v>198</v>
      </c>
      <c r="AN14" s="10">
        <v>16250</v>
      </c>
      <c r="AO14" s="11"/>
      <c r="AP14" s="72"/>
      <c r="AQ14" s="72">
        <v>639570</v>
      </c>
      <c r="AS14" s="9">
        <v>4600</v>
      </c>
      <c r="AT14" s="9">
        <v>3000</v>
      </c>
      <c r="AU14" s="9">
        <v>15000</v>
      </c>
      <c r="AV14" s="9">
        <v>6600</v>
      </c>
      <c r="AW14" s="9">
        <v>800</v>
      </c>
      <c r="AX14" s="9">
        <v>1600</v>
      </c>
      <c r="AY14" s="9">
        <v>34000</v>
      </c>
      <c r="AZ14" s="9">
        <v>7000</v>
      </c>
      <c r="BA14" s="11"/>
      <c r="BB14" s="68">
        <v>13000</v>
      </c>
      <c r="BC14" s="68">
        <v>3050</v>
      </c>
      <c r="BD14" s="68">
        <v>14000</v>
      </c>
      <c r="BE14" s="68">
        <v>2500</v>
      </c>
      <c r="BF14" s="68">
        <v>57000</v>
      </c>
      <c r="BG14" s="68">
        <v>1000</v>
      </c>
      <c r="BH14" s="19"/>
      <c r="BI14" s="20" t="s">
        <v>112</v>
      </c>
      <c r="BJ14" s="10">
        <v>300000</v>
      </c>
      <c r="BK14" s="11"/>
      <c r="BL14" s="72">
        <v>565842</v>
      </c>
      <c r="BM14" s="72">
        <v>35000</v>
      </c>
      <c r="BO14" s="9">
        <v>2500</v>
      </c>
      <c r="BP14" s="9">
        <v>5000</v>
      </c>
      <c r="BQ14" s="9">
        <v>7000</v>
      </c>
      <c r="BR14" s="9">
        <v>24000</v>
      </c>
      <c r="BS14" s="9">
        <v>6300</v>
      </c>
      <c r="BT14" s="9">
        <v>2000</v>
      </c>
      <c r="BU14" s="9">
        <v>6500</v>
      </c>
      <c r="BV14" s="9">
        <v>1500</v>
      </c>
      <c r="BW14" s="11"/>
      <c r="BX14" s="68">
        <v>3960</v>
      </c>
      <c r="BY14" s="68">
        <v>2400</v>
      </c>
      <c r="BZ14" s="68">
        <v>5760</v>
      </c>
      <c r="CA14" s="68">
        <v>1600</v>
      </c>
      <c r="CB14" s="68">
        <v>2500</v>
      </c>
      <c r="CC14" s="68">
        <v>6000</v>
      </c>
      <c r="CD14" s="19"/>
      <c r="CE14" s="20" t="s">
        <v>198</v>
      </c>
      <c r="CF14" s="10">
        <v>21000</v>
      </c>
      <c r="CG14" s="11"/>
      <c r="CH14" s="72"/>
      <c r="CI14" s="72">
        <v>246000</v>
      </c>
      <c r="CJ14" s="24"/>
      <c r="CK14" s="9">
        <v>1500</v>
      </c>
      <c r="CL14" s="9">
        <v>8000</v>
      </c>
      <c r="CM14" s="9">
        <v>6800</v>
      </c>
      <c r="CN14" s="9">
        <v>65000</v>
      </c>
      <c r="CO14" s="9">
        <v>3500</v>
      </c>
      <c r="CP14" s="9">
        <v>2000</v>
      </c>
      <c r="CQ14" s="9">
        <v>1500</v>
      </c>
      <c r="CR14" s="9"/>
      <c r="CS14" s="11"/>
      <c r="CT14" s="68">
        <v>380</v>
      </c>
      <c r="CU14" s="68">
        <v>3500</v>
      </c>
      <c r="CV14" s="10"/>
      <c r="CW14" s="10"/>
      <c r="CX14" s="68">
        <v>7000</v>
      </c>
      <c r="CY14" s="68">
        <v>6000</v>
      </c>
      <c r="CZ14" s="68">
        <v>6000</v>
      </c>
      <c r="DA14" s="19"/>
      <c r="DB14" s="20" t="s">
        <v>15</v>
      </c>
      <c r="DC14" s="10">
        <v>170400</v>
      </c>
      <c r="DD14" s="11"/>
      <c r="DE14" s="75">
        <v>522670</v>
      </c>
      <c r="DF14" s="75">
        <v>365340</v>
      </c>
    </row>
    <row r="15" ht="15.75" customHeight="1" spans="1:110">
      <c r="A15" s="9">
        <v>1000</v>
      </c>
      <c r="B15" s="9">
        <v>2000</v>
      </c>
      <c r="C15" s="9">
        <v>2000</v>
      </c>
      <c r="D15" s="9">
        <v>4000</v>
      </c>
      <c r="E15" s="9">
        <v>14000</v>
      </c>
      <c r="F15" s="9"/>
      <c r="G15" s="9"/>
      <c r="H15" s="9"/>
      <c r="I15" s="11"/>
      <c r="J15" s="68">
        <v>19220</v>
      </c>
      <c r="K15" s="68">
        <v>49500</v>
      </c>
      <c r="L15" s="10"/>
      <c r="M15" s="10">
        <v>15400</v>
      </c>
      <c r="N15" s="10">
        <v>24200</v>
      </c>
      <c r="O15" s="10">
        <v>4500</v>
      </c>
      <c r="P15" s="19"/>
      <c r="Q15" s="20"/>
      <c r="R15" s="10"/>
      <c r="S15" s="11"/>
      <c r="T15" s="32" t="s">
        <v>50</v>
      </c>
      <c r="U15" s="33"/>
      <c r="V15" s="24"/>
      <c r="W15" s="9">
        <v>1000</v>
      </c>
      <c r="X15" s="9">
        <v>15000</v>
      </c>
      <c r="Y15" s="9">
        <v>30500</v>
      </c>
      <c r="Z15" s="9">
        <v>3500</v>
      </c>
      <c r="AA15" s="9">
        <v>19400</v>
      </c>
      <c r="AB15" s="9">
        <v>45000</v>
      </c>
      <c r="AC15" s="9">
        <v>4500</v>
      </c>
      <c r="AD15" s="9">
        <v>3300</v>
      </c>
      <c r="AE15" s="11"/>
      <c r="AF15" s="68">
        <v>18000</v>
      </c>
      <c r="AG15" s="68">
        <v>4320</v>
      </c>
      <c r="AH15" s="68">
        <v>13800</v>
      </c>
      <c r="AI15" s="68">
        <v>10000</v>
      </c>
      <c r="AJ15" s="68">
        <v>5600</v>
      </c>
      <c r="AK15" s="68">
        <v>38000</v>
      </c>
      <c r="AL15" s="19"/>
      <c r="AM15" s="20" t="s">
        <v>27</v>
      </c>
      <c r="AN15" s="10">
        <v>93400</v>
      </c>
      <c r="AO15" s="11"/>
      <c r="AP15" s="32" t="s">
        <v>50</v>
      </c>
      <c r="AQ15" s="33"/>
      <c r="AS15" s="9">
        <v>6000</v>
      </c>
      <c r="AT15" s="9">
        <v>2000</v>
      </c>
      <c r="AU15" s="9">
        <v>6000</v>
      </c>
      <c r="AV15" s="9">
        <v>4000</v>
      </c>
      <c r="AW15" s="9">
        <v>300</v>
      </c>
      <c r="AX15" s="9">
        <v>2500</v>
      </c>
      <c r="AY15" s="9">
        <v>26000</v>
      </c>
      <c r="AZ15" s="9">
        <v>3000</v>
      </c>
      <c r="BA15" s="11"/>
      <c r="BB15" s="68">
        <v>12490</v>
      </c>
      <c r="BC15" s="68">
        <v>2540</v>
      </c>
      <c r="BD15" s="68">
        <v>34000</v>
      </c>
      <c r="BE15" s="68">
        <v>1000</v>
      </c>
      <c r="BF15" s="68">
        <v>48000</v>
      </c>
      <c r="BG15" s="68">
        <v>17500</v>
      </c>
      <c r="BH15" s="19"/>
      <c r="BI15" s="20" t="s">
        <v>155</v>
      </c>
      <c r="BJ15" s="10">
        <v>111000</v>
      </c>
      <c r="BK15" s="11"/>
      <c r="BL15" s="32" t="s">
        <v>50</v>
      </c>
      <c r="BM15" s="33">
        <v>413610</v>
      </c>
      <c r="BO15" s="9">
        <v>1000</v>
      </c>
      <c r="BP15" s="9">
        <v>4500</v>
      </c>
      <c r="BQ15" s="9">
        <v>6500</v>
      </c>
      <c r="BR15" s="9">
        <v>1800</v>
      </c>
      <c r="BS15" s="9">
        <v>3500</v>
      </c>
      <c r="BT15" s="9">
        <v>3000</v>
      </c>
      <c r="BU15" s="9">
        <v>7500</v>
      </c>
      <c r="BV15" s="9">
        <v>4000</v>
      </c>
      <c r="BW15" s="11"/>
      <c r="BX15" s="68">
        <v>31500</v>
      </c>
      <c r="BY15" s="68">
        <v>10000</v>
      </c>
      <c r="BZ15" s="68">
        <v>4320</v>
      </c>
      <c r="CA15" s="68">
        <v>4500</v>
      </c>
      <c r="CB15" s="68">
        <v>1500</v>
      </c>
      <c r="CC15" s="68">
        <v>3200</v>
      </c>
      <c r="CD15" s="19"/>
      <c r="CE15" s="20" t="s">
        <v>5</v>
      </c>
      <c r="CF15" s="10">
        <v>227560</v>
      </c>
      <c r="CG15" s="11"/>
      <c r="CH15" s="32" t="s">
        <v>50</v>
      </c>
      <c r="CI15" s="33"/>
      <c r="CJ15" s="24"/>
      <c r="CK15" s="9">
        <v>1600</v>
      </c>
      <c r="CL15" s="9">
        <v>10500</v>
      </c>
      <c r="CM15" s="9">
        <v>9000</v>
      </c>
      <c r="CN15" s="9">
        <v>6000</v>
      </c>
      <c r="CO15" s="9">
        <v>300</v>
      </c>
      <c r="CP15" s="9">
        <v>300</v>
      </c>
      <c r="CQ15" s="9">
        <v>3000</v>
      </c>
      <c r="CR15" s="9"/>
      <c r="CS15" s="11"/>
      <c r="CT15" s="68">
        <v>5000</v>
      </c>
      <c r="CU15" s="68">
        <v>13000</v>
      </c>
      <c r="CV15" s="10"/>
      <c r="CW15" s="10"/>
      <c r="CX15" s="68">
        <v>13500</v>
      </c>
      <c r="CY15" s="68">
        <v>1000</v>
      </c>
      <c r="CZ15" s="68">
        <v>12300</v>
      </c>
      <c r="DA15" s="19"/>
      <c r="DB15" s="20" t="s">
        <v>46</v>
      </c>
      <c r="DC15" s="10">
        <v>43400</v>
      </c>
      <c r="DD15" s="11"/>
      <c r="DE15" s="32" t="s">
        <v>50</v>
      </c>
      <c r="DF15" s="33"/>
    </row>
    <row r="16" ht="15" customHeight="1" spans="1:110">
      <c r="A16" s="9">
        <v>3000</v>
      </c>
      <c r="B16" s="9">
        <v>1000</v>
      </c>
      <c r="C16" s="9">
        <v>77000</v>
      </c>
      <c r="D16" s="9">
        <v>7000</v>
      </c>
      <c r="E16" s="9">
        <v>5000</v>
      </c>
      <c r="F16" s="9"/>
      <c r="G16" s="9"/>
      <c r="H16" s="9"/>
      <c r="I16" s="11"/>
      <c r="J16" s="68">
        <v>1000</v>
      </c>
      <c r="K16" s="68">
        <v>8000</v>
      </c>
      <c r="L16" s="10"/>
      <c r="M16" s="10">
        <v>12000</v>
      </c>
      <c r="N16" s="10">
        <v>1800</v>
      </c>
      <c r="O16" s="10">
        <v>10600</v>
      </c>
      <c r="P16" s="21"/>
      <c r="Q16" s="20"/>
      <c r="R16" s="10"/>
      <c r="S16" s="11"/>
      <c r="T16" s="32" t="s">
        <v>53</v>
      </c>
      <c r="U16" s="33">
        <v>210420</v>
      </c>
      <c r="V16" s="24"/>
      <c r="W16" s="9">
        <v>1500</v>
      </c>
      <c r="X16" s="9">
        <v>2500</v>
      </c>
      <c r="Y16" s="9">
        <v>9000</v>
      </c>
      <c r="Z16" s="9">
        <v>11000</v>
      </c>
      <c r="AA16" s="9">
        <v>3500</v>
      </c>
      <c r="AB16" s="9">
        <v>6400</v>
      </c>
      <c r="AC16" s="9">
        <v>4800</v>
      </c>
      <c r="AD16" s="9">
        <v>2500</v>
      </c>
      <c r="AE16" s="11"/>
      <c r="AF16" s="68">
        <v>1920</v>
      </c>
      <c r="AG16" s="68">
        <v>1440</v>
      </c>
      <c r="AH16" s="68">
        <v>10000</v>
      </c>
      <c r="AI16" s="68">
        <v>4000</v>
      </c>
      <c r="AJ16" s="68">
        <v>30000</v>
      </c>
      <c r="AK16" s="68">
        <v>6000</v>
      </c>
      <c r="AL16" s="21"/>
      <c r="AM16" s="20" t="s">
        <v>136</v>
      </c>
      <c r="AN16" s="10">
        <v>600000</v>
      </c>
      <c r="AO16" s="11"/>
      <c r="AP16" s="32" t="s">
        <v>53</v>
      </c>
      <c r="AQ16" s="33"/>
      <c r="AS16" s="9">
        <v>3000</v>
      </c>
      <c r="AT16" s="9">
        <v>22000</v>
      </c>
      <c r="AU16" s="9">
        <v>8000</v>
      </c>
      <c r="AV16" s="9">
        <v>5500</v>
      </c>
      <c r="AW16" s="9">
        <v>6000</v>
      </c>
      <c r="AX16" s="9">
        <v>8500</v>
      </c>
      <c r="AY16" s="9">
        <v>5000</v>
      </c>
      <c r="AZ16" s="9">
        <v>5000</v>
      </c>
      <c r="BA16" s="11"/>
      <c r="BB16" s="68">
        <v>9600</v>
      </c>
      <c r="BC16" s="68">
        <v>10500</v>
      </c>
      <c r="BD16" s="68">
        <v>5500</v>
      </c>
      <c r="BE16" s="68">
        <v>5000</v>
      </c>
      <c r="BF16" s="68">
        <v>3500</v>
      </c>
      <c r="BG16" s="68">
        <v>13000</v>
      </c>
      <c r="BH16" s="21"/>
      <c r="BI16" s="20" t="s">
        <v>199</v>
      </c>
      <c r="BJ16" s="10">
        <v>18000</v>
      </c>
      <c r="BK16" s="11"/>
      <c r="BL16" s="32" t="s">
        <v>53</v>
      </c>
      <c r="BM16" s="33">
        <v>948090</v>
      </c>
      <c r="BO16" s="9">
        <v>2000</v>
      </c>
      <c r="BP16" s="9">
        <v>5200</v>
      </c>
      <c r="BQ16" s="9">
        <v>4500</v>
      </c>
      <c r="BR16" s="9">
        <v>4500</v>
      </c>
      <c r="BS16" s="9">
        <v>1000</v>
      </c>
      <c r="BT16" s="9">
        <v>17000</v>
      </c>
      <c r="BU16" s="9">
        <v>5400</v>
      </c>
      <c r="BV16" s="9">
        <v>2500</v>
      </c>
      <c r="BW16" s="11"/>
      <c r="BX16" s="68">
        <v>6000</v>
      </c>
      <c r="BY16" s="68">
        <v>2500</v>
      </c>
      <c r="BZ16" s="68">
        <v>9000</v>
      </c>
      <c r="CA16" s="68">
        <v>8800</v>
      </c>
      <c r="CB16" s="68">
        <v>6500</v>
      </c>
      <c r="CC16" s="68">
        <v>1500</v>
      </c>
      <c r="CD16" s="21"/>
      <c r="CE16" s="20" t="s">
        <v>200</v>
      </c>
      <c r="CF16" s="10">
        <v>35200</v>
      </c>
      <c r="CG16" s="11"/>
      <c r="CH16" s="32" t="s">
        <v>53</v>
      </c>
      <c r="CI16" s="33">
        <v>1662660</v>
      </c>
      <c r="CJ16" s="31"/>
      <c r="CK16" s="9">
        <v>500</v>
      </c>
      <c r="CL16" s="9">
        <v>4500</v>
      </c>
      <c r="CM16" s="9">
        <v>1600</v>
      </c>
      <c r="CN16" s="9">
        <v>10000</v>
      </c>
      <c r="CO16" s="9">
        <v>6000</v>
      </c>
      <c r="CP16" s="9">
        <v>2000</v>
      </c>
      <c r="CQ16" s="9">
        <v>800</v>
      </c>
      <c r="CR16" s="9"/>
      <c r="CS16" s="11"/>
      <c r="CT16" s="68">
        <v>2500</v>
      </c>
      <c r="CU16" s="68">
        <v>8170</v>
      </c>
      <c r="CV16" s="10"/>
      <c r="CW16" s="10"/>
      <c r="CX16" s="68">
        <v>5500</v>
      </c>
      <c r="CY16" s="68">
        <v>6000</v>
      </c>
      <c r="CZ16" s="68">
        <v>5000</v>
      </c>
      <c r="DA16" s="21"/>
      <c r="DB16" s="20" t="s">
        <v>201</v>
      </c>
      <c r="DC16" s="10">
        <v>562163</v>
      </c>
      <c r="DD16" s="11"/>
      <c r="DE16" s="32" t="s">
        <v>53</v>
      </c>
      <c r="DF16" s="33"/>
    </row>
    <row r="17" ht="15.75" customHeight="1" spans="1:110">
      <c r="A17" s="9">
        <v>2500</v>
      </c>
      <c r="B17" s="9">
        <v>7000</v>
      </c>
      <c r="C17" s="9">
        <v>5500</v>
      </c>
      <c r="D17" s="9">
        <v>10000</v>
      </c>
      <c r="E17" s="9">
        <v>1000</v>
      </c>
      <c r="F17" s="9"/>
      <c r="G17" s="9"/>
      <c r="H17" s="9"/>
      <c r="I17" s="11"/>
      <c r="J17" s="68">
        <v>14220</v>
      </c>
      <c r="K17" s="68">
        <v>2000</v>
      </c>
      <c r="L17" s="10"/>
      <c r="M17" s="10">
        <v>13500</v>
      </c>
      <c r="N17" s="10">
        <v>600</v>
      </c>
      <c r="O17" s="10">
        <v>15500</v>
      </c>
      <c r="P17" s="21"/>
      <c r="Q17" s="20"/>
      <c r="R17" s="10"/>
      <c r="S17" s="11"/>
      <c r="T17" s="24"/>
      <c r="U17" s="72">
        <v>12000</v>
      </c>
      <c r="V17" s="24"/>
      <c r="W17" s="9">
        <v>5000</v>
      </c>
      <c r="X17" s="9">
        <v>1000</v>
      </c>
      <c r="Y17" s="9">
        <v>3000</v>
      </c>
      <c r="Z17" s="9">
        <v>20000</v>
      </c>
      <c r="AA17" s="9">
        <v>2000</v>
      </c>
      <c r="AB17" s="9">
        <v>3500</v>
      </c>
      <c r="AC17" s="9">
        <v>500</v>
      </c>
      <c r="AD17" s="9">
        <v>6800</v>
      </c>
      <c r="AE17" s="11"/>
      <c r="AF17" s="68">
        <v>31220</v>
      </c>
      <c r="AG17" s="68">
        <v>10000</v>
      </c>
      <c r="AH17" s="68">
        <v>9500</v>
      </c>
      <c r="AI17" s="68">
        <v>30500</v>
      </c>
      <c r="AJ17" s="68">
        <v>10000</v>
      </c>
      <c r="AK17" s="68">
        <v>1500</v>
      </c>
      <c r="AL17" s="21"/>
      <c r="AM17" s="20" t="s">
        <v>44</v>
      </c>
      <c r="AN17" s="10">
        <v>154000</v>
      </c>
      <c r="AO17" s="11"/>
      <c r="AP17" s="72">
        <v>12000</v>
      </c>
      <c r="AQ17" s="72">
        <v>12000</v>
      </c>
      <c r="AS17" s="9">
        <v>3000</v>
      </c>
      <c r="AT17" s="9">
        <v>3000</v>
      </c>
      <c r="AU17" s="9">
        <v>5000</v>
      </c>
      <c r="AV17" s="9">
        <v>1000</v>
      </c>
      <c r="AW17" s="9">
        <v>2000</v>
      </c>
      <c r="AX17" s="9">
        <v>1000</v>
      </c>
      <c r="AY17" s="9">
        <v>3500</v>
      </c>
      <c r="AZ17" s="9">
        <v>32500</v>
      </c>
      <c r="BA17" s="11"/>
      <c r="BB17" s="68">
        <v>46300</v>
      </c>
      <c r="BC17" s="68">
        <v>8000</v>
      </c>
      <c r="BD17" s="68">
        <v>67000</v>
      </c>
      <c r="BE17" s="68">
        <v>5000</v>
      </c>
      <c r="BF17" s="68">
        <v>4000</v>
      </c>
      <c r="BG17" s="68">
        <v>15000</v>
      </c>
      <c r="BH17" s="21"/>
      <c r="BI17" s="20" t="s">
        <v>44</v>
      </c>
      <c r="BJ17" s="10">
        <v>155240</v>
      </c>
      <c r="BK17" s="11"/>
      <c r="BL17" s="24"/>
      <c r="BM17" s="72">
        <v>48090</v>
      </c>
      <c r="BO17" s="9">
        <v>600</v>
      </c>
      <c r="BP17" s="9">
        <v>3500</v>
      </c>
      <c r="BQ17" s="9">
        <v>15000</v>
      </c>
      <c r="BR17" s="9">
        <v>5000</v>
      </c>
      <c r="BS17" s="9">
        <v>11300</v>
      </c>
      <c r="BT17" s="9">
        <v>14000</v>
      </c>
      <c r="BU17" s="9">
        <v>10000</v>
      </c>
      <c r="BV17" s="9">
        <v>1000</v>
      </c>
      <c r="BW17" s="11"/>
      <c r="BX17" s="68">
        <v>500</v>
      </c>
      <c r="BY17" s="68">
        <v>5570</v>
      </c>
      <c r="BZ17" s="68">
        <v>64370</v>
      </c>
      <c r="CA17" s="68">
        <v>35000</v>
      </c>
      <c r="CB17" s="68">
        <v>13000</v>
      </c>
      <c r="CC17" s="68">
        <v>16000</v>
      </c>
      <c r="CD17" s="21"/>
      <c r="CE17" s="20" t="s">
        <v>44</v>
      </c>
      <c r="CF17" s="10">
        <v>162000</v>
      </c>
      <c r="CG17" s="11"/>
      <c r="CH17" s="24"/>
      <c r="CI17" s="72">
        <v>12000</v>
      </c>
      <c r="CJ17" s="31"/>
      <c r="CK17" s="9">
        <v>41000</v>
      </c>
      <c r="CL17" s="9">
        <v>2000</v>
      </c>
      <c r="CM17" s="9">
        <v>5000</v>
      </c>
      <c r="CN17" s="9">
        <v>2000</v>
      </c>
      <c r="CO17" s="9">
        <v>1000</v>
      </c>
      <c r="CP17" s="9">
        <v>2500</v>
      </c>
      <c r="CQ17" s="9">
        <v>4000</v>
      </c>
      <c r="CR17" s="9"/>
      <c r="CS17" s="11"/>
      <c r="CT17" s="68">
        <v>1430</v>
      </c>
      <c r="CU17" s="68">
        <v>480</v>
      </c>
      <c r="CV17" s="10"/>
      <c r="CW17" s="10"/>
      <c r="CX17" s="68">
        <v>13000</v>
      </c>
      <c r="CY17" s="68">
        <v>7000</v>
      </c>
      <c r="CZ17" s="68">
        <v>23000</v>
      </c>
      <c r="DA17" s="21"/>
      <c r="DB17" s="20"/>
      <c r="DC17" s="10"/>
      <c r="DD17" s="11"/>
      <c r="DE17" s="24"/>
      <c r="DF17" s="72">
        <v>179880</v>
      </c>
    </row>
    <row r="18" ht="15.75" customHeight="1" spans="1:110">
      <c r="A18" s="9">
        <v>800</v>
      </c>
      <c r="B18" s="9">
        <v>13000</v>
      </c>
      <c r="C18" s="9">
        <v>2500</v>
      </c>
      <c r="D18" s="9">
        <v>6000</v>
      </c>
      <c r="E18" s="9">
        <v>12000</v>
      </c>
      <c r="F18" s="9"/>
      <c r="G18" s="9"/>
      <c r="H18" s="9"/>
      <c r="I18" s="11"/>
      <c r="J18" s="68">
        <v>19090</v>
      </c>
      <c r="K18" s="68">
        <v>50000</v>
      </c>
      <c r="L18" s="10"/>
      <c r="M18" s="10"/>
      <c r="N18" s="10">
        <v>28000</v>
      </c>
      <c r="O18" s="10">
        <v>2000</v>
      </c>
      <c r="P18" s="21"/>
      <c r="Q18" s="20"/>
      <c r="R18" s="10"/>
      <c r="S18" s="11"/>
      <c r="U18" s="72">
        <v>100000</v>
      </c>
      <c r="V18" s="24"/>
      <c r="W18" s="9">
        <v>46900</v>
      </c>
      <c r="X18" s="9">
        <v>21000</v>
      </c>
      <c r="Y18" s="9">
        <v>1100</v>
      </c>
      <c r="Z18" s="9">
        <v>2000</v>
      </c>
      <c r="AA18" s="9">
        <v>2400</v>
      </c>
      <c r="AB18" s="9">
        <v>1000</v>
      </c>
      <c r="AC18" s="9">
        <v>1000</v>
      </c>
      <c r="AD18" s="9">
        <v>1500</v>
      </c>
      <c r="AE18" s="11"/>
      <c r="AF18" s="68">
        <v>2000</v>
      </c>
      <c r="AG18" s="68">
        <v>9610</v>
      </c>
      <c r="AH18" s="68">
        <v>4800</v>
      </c>
      <c r="AI18" s="68">
        <v>4000</v>
      </c>
      <c r="AJ18" s="68">
        <v>3000</v>
      </c>
      <c r="AK18" s="68">
        <v>3000</v>
      </c>
      <c r="AL18" s="21"/>
      <c r="AM18" s="20" t="s">
        <v>130</v>
      </c>
      <c r="AN18" s="10">
        <v>41000</v>
      </c>
      <c r="AO18" s="11"/>
      <c r="AP18" s="72">
        <v>7500</v>
      </c>
      <c r="AQ18" s="72">
        <v>12000</v>
      </c>
      <c r="AS18" s="9">
        <v>10000</v>
      </c>
      <c r="AT18" s="9">
        <v>4000</v>
      </c>
      <c r="AU18" s="9">
        <v>26000</v>
      </c>
      <c r="AV18" s="9">
        <v>1000</v>
      </c>
      <c r="AW18" s="9">
        <v>16500</v>
      </c>
      <c r="AX18" s="9">
        <v>4000</v>
      </c>
      <c r="AY18" s="9">
        <v>4000</v>
      </c>
      <c r="AZ18" s="9">
        <v>5200</v>
      </c>
      <c r="BA18" s="11"/>
      <c r="BB18" s="68">
        <v>14000</v>
      </c>
      <c r="BC18" s="68">
        <v>2000</v>
      </c>
      <c r="BD18" s="68">
        <v>63000</v>
      </c>
      <c r="BE18" s="68">
        <v>4000</v>
      </c>
      <c r="BF18" s="68">
        <v>4000</v>
      </c>
      <c r="BG18" s="68">
        <v>8500</v>
      </c>
      <c r="BH18" s="21"/>
      <c r="BI18" s="20" t="s">
        <v>47</v>
      </c>
      <c r="BJ18" s="10">
        <v>60000</v>
      </c>
      <c r="BK18" s="11"/>
      <c r="BM18" s="72">
        <v>100000</v>
      </c>
      <c r="BO18" s="9">
        <v>4000</v>
      </c>
      <c r="BP18" s="9">
        <v>2500</v>
      </c>
      <c r="BQ18" s="9">
        <v>1000</v>
      </c>
      <c r="BR18" s="9">
        <v>1000</v>
      </c>
      <c r="BS18" s="9">
        <v>7500</v>
      </c>
      <c r="BT18" s="9">
        <v>12500</v>
      </c>
      <c r="BU18" s="9">
        <v>4000</v>
      </c>
      <c r="BV18" s="9">
        <v>2000</v>
      </c>
      <c r="BW18" s="11"/>
      <c r="BX18" s="68">
        <v>6100</v>
      </c>
      <c r="BY18" s="68">
        <v>15000</v>
      </c>
      <c r="BZ18" s="68">
        <v>6800</v>
      </c>
      <c r="CA18" s="68">
        <v>6500</v>
      </c>
      <c r="CB18" s="68">
        <v>8500</v>
      </c>
      <c r="CC18" s="68">
        <v>500</v>
      </c>
      <c r="CD18" s="21"/>
      <c r="CE18" s="20" t="s">
        <v>34</v>
      </c>
      <c r="CF18" s="10">
        <v>21000</v>
      </c>
      <c r="CG18" s="11"/>
      <c r="CI18" s="72">
        <v>12000</v>
      </c>
      <c r="CJ18" s="24"/>
      <c r="CK18" s="9">
        <v>12000</v>
      </c>
      <c r="CL18" s="9">
        <v>27900</v>
      </c>
      <c r="CM18" s="9">
        <v>5500</v>
      </c>
      <c r="CN18" s="9">
        <v>3500</v>
      </c>
      <c r="CO18" s="9">
        <v>4000</v>
      </c>
      <c r="CP18" s="9">
        <v>1500</v>
      </c>
      <c r="CQ18" s="9">
        <v>17300</v>
      </c>
      <c r="CR18" s="9"/>
      <c r="CS18" s="11"/>
      <c r="CT18" s="68">
        <v>7690</v>
      </c>
      <c r="CU18" s="68">
        <v>6000</v>
      </c>
      <c r="CV18" s="10"/>
      <c r="CW18" s="10"/>
      <c r="CX18" s="68">
        <v>21200</v>
      </c>
      <c r="CY18" s="68">
        <v>8000</v>
      </c>
      <c r="CZ18" s="68">
        <v>4500</v>
      </c>
      <c r="DA18" s="21"/>
      <c r="DB18" s="20"/>
      <c r="DC18" s="10"/>
      <c r="DD18" s="11"/>
      <c r="DF18" s="72">
        <v>10600</v>
      </c>
    </row>
    <row r="19" ht="15.75" customHeight="1" spans="1:110">
      <c r="A19" s="9">
        <v>13500</v>
      </c>
      <c r="B19" s="9">
        <v>12000</v>
      </c>
      <c r="C19" s="9">
        <v>9000</v>
      </c>
      <c r="D19" s="9">
        <v>6500</v>
      </c>
      <c r="E19" s="9">
        <v>12000</v>
      </c>
      <c r="F19" s="9"/>
      <c r="G19" s="9"/>
      <c r="H19" s="9"/>
      <c r="I19" s="11"/>
      <c r="J19" s="68">
        <v>9000</v>
      </c>
      <c r="K19" s="68">
        <v>100000</v>
      </c>
      <c r="L19" s="10"/>
      <c r="M19" s="10"/>
      <c r="N19" s="10">
        <v>4000</v>
      </c>
      <c r="O19" s="10">
        <v>5000</v>
      </c>
      <c r="P19" s="21"/>
      <c r="Q19" s="20"/>
      <c r="R19" s="10"/>
      <c r="S19" s="11"/>
      <c r="T19" s="24"/>
      <c r="U19" s="72">
        <v>10600</v>
      </c>
      <c r="V19" s="24"/>
      <c r="W19" s="9">
        <v>1000</v>
      </c>
      <c r="X19" s="9">
        <v>10500</v>
      </c>
      <c r="Y19" s="9">
        <v>3500</v>
      </c>
      <c r="Z19" s="9">
        <v>2500</v>
      </c>
      <c r="AA19" s="9">
        <v>5500</v>
      </c>
      <c r="AB19" s="9">
        <v>4500</v>
      </c>
      <c r="AC19" s="9">
        <v>5000</v>
      </c>
      <c r="AD19" s="9">
        <v>1000</v>
      </c>
      <c r="AE19" s="11"/>
      <c r="AF19" s="68">
        <v>36500</v>
      </c>
      <c r="AG19" s="68">
        <v>7880</v>
      </c>
      <c r="AH19" s="68">
        <v>3840</v>
      </c>
      <c r="AI19" s="68">
        <v>5000</v>
      </c>
      <c r="AJ19" s="68">
        <v>90000</v>
      </c>
      <c r="AK19" s="68">
        <v>7000</v>
      </c>
      <c r="AL19" s="21"/>
      <c r="AM19" s="20" t="s">
        <v>14</v>
      </c>
      <c r="AN19" s="10">
        <v>979500</v>
      </c>
      <c r="AO19" s="11"/>
      <c r="AP19" s="24"/>
      <c r="AQ19" s="72">
        <v>96120</v>
      </c>
      <c r="AS19" s="9">
        <v>900</v>
      </c>
      <c r="AT19" s="9">
        <v>7000</v>
      </c>
      <c r="AU19" s="9">
        <v>2000</v>
      </c>
      <c r="AV19" s="9">
        <v>45000</v>
      </c>
      <c r="AW19" s="9">
        <v>9000</v>
      </c>
      <c r="AX19" s="9">
        <v>4000</v>
      </c>
      <c r="AY19" s="9">
        <v>4800</v>
      </c>
      <c r="AZ19" s="9">
        <v>13000</v>
      </c>
      <c r="BA19" s="11"/>
      <c r="BB19" s="68">
        <v>5000</v>
      </c>
      <c r="BC19" s="68">
        <v>16000</v>
      </c>
      <c r="BD19" s="68">
        <v>8900</v>
      </c>
      <c r="BE19" s="68">
        <v>19000</v>
      </c>
      <c r="BF19" s="68">
        <v>10000</v>
      </c>
      <c r="BG19" s="68">
        <v>6000</v>
      </c>
      <c r="BH19" s="21"/>
      <c r="BI19" s="20" t="s">
        <v>7</v>
      </c>
      <c r="BJ19" s="10">
        <v>72000</v>
      </c>
      <c r="BK19" s="11"/>
      <c r="BL19" s="24"/>
      <c r="BM19" s="72">
        <v>8100</v>
      </c>
      <c r="BO19" s="9">
        <v>8000</v>
      </c>
      <c r="BP19" s="9">
        <v>3500</v>
      </c>
      <c r="BQ19" s="9">
        <v>6500</v>
      </c>
      <c r="BR19" s="9">
        <v>5500</v>
      </c>
      <c r="BS19" s="9">
        <v>1000</v>
      </c>
      <c r="BT19" s="9">
        <v>10000</v>
      </c>
      <c r="BU19" s="9">
        <v>1000</v>
      </c>
      <c r="BV19" s="9">
        <v>14000</v>
      </c>
      <c r="BW19" s="11"/>
      <c r="BX19" s="68">
        <v>9140</v>
      </c>
      <c r="BY19" s="68">
        <v>7500</v>
      </c>
      <c r="BZ19" s="68">
        <v>6440</v>
      </c>
      <c r="CA19" s="68">
        <v>8000</v>
      </c>
      <c r="CB19" s="68">
        <v>10000</v>
      </c>
      <c r="CC19" s="68">
        <v>2000</v>
      </c>
      <c r="CD19" s="21"/>
      <c r="CE19" s="20"/>
      <c r="CF19" s="10"/>
      <c r="CG19" s="11"/>
      <c r="CH19" s="24"/>
      <c r="CI19" s="72">
        <v>12000</v>
      </c>
      <c r="CJ19" s="31"/>
      <c r="CK19" s="9">
        <v>2000</v>
      </c>
      <c r="CL19" s="9">
        <v>400</v>
      </c>
      <c r="CM19" s="9">
        <v>500</v>
      </c>
      <c r="CN19" s="9">
        <v>5000</v>
      </c>
      <c r="CO19" s="9">
        <v>5200</v>
      </c>
      <c r="CP19" s="9">
        <v>1000</v>
      </c>
      <c r="CQ19" s="9">
        <v>10000</v>
      </c>
      <c r="CR19" s="9"/>
      <c r="CS19" s="11"/>
      <c r="CT19" s="68">
        <v>4200</v>
      </c>
      <c r="CU19" s="68">
        <v>15370</v>
      </c>
      <c r="CV19" s="10"/>
      <c r="CW19" s="10"/>
      <c r="CX19" s="68">
        <v>11600</v>
      </c>
      <c r="CY19" s="68">
        <v>23000</v>
      </c>
      <c r="CZ19" s="68">
        <v>7000</v>
      </c>
      <c r="DA19" s="21"/>
      <c r="DB19" s="20"/>
      <c r="DC19" s="10"/>
      <c r="DD19" s="11"/>
      <c r="DE19" s="24"/>
      <c r="DF19" s="72">
        <v>402340</v>
      </c>
    </row>
    <row r="20" ht="15" customHeight="1" spans="1:110">
      <c r="A20" s="9">
        <v>1400</v>
      </c>
      <c r="B20" s="9">
        <v>30000</v>
      </c>
      <c r="C20" s="9">
        <v>16300</v>
      </c>
      <c r="D20" s="9">
        <v>4500</v>
      </c>
      <c r="E20" s="9">
        <v>15000</v>
      </c>
      <c r="F20" s="9"/>
      <c r="G20" s="9"/>
      <c r="H20" s="9"/>
      <c r="I20" s="11"/>
      <c r="J20" s="68">
        <v>23500</v>
      </c>
      <c r="K20" s="68">
        <v>2500</v>
      </c>
      <c r="L20" s="10"/>
      <c r="M20" s="10"/>
      <c r="N20" s="10">
        <v>1700</v>
      </c>
      <c r="O20" s="10">
        <v>2600</v>
      </c>
      <c r="P20" s="21"/>
      <c r="Q20" s="20"/>
      <c r="R20" s="10"/>
      <c r="S20" s="11"/>
      <c r="T20" s="24"/>
      <c r="U20" s="72">
        <v>12000</v>
      </c>
      <c r="V20" s="24"/>
      <c r="W20" s="9">
        <v>1000</v>
      </c>
      <c r="X20" s="9">
        <v>2500</v>
      </c>
      <c r="Y20" s="9">
        <v>4000</v>
      </c>
      <c r="Z20" s="9">
        <v>4500</v>
      </c>
      <c r="AA20" s="9">
        <v>3200</v>
      </c>
      <c r="AB20" s="9">
        <v>29000</v>
      </c>
      <c r="AC20" s="9">
        <v>40000</v>
      </c>
      <c r="AD20" s="9">
        <v>68000</v>
      </c>
      <c r="AE20" s="11"/>
      <c r="AF20" s="68">
        <v>2860</v>
      </c>
      <c r="AG20" s="68">
        <v>10000</v>
      </c>
      <c r="AH20" s="68">
        <v>22100</v>
      </c>
      <c r="AI20" s="68">
        <v>1200</v>
      </c>
      <c r="AJ20" s="68">
        <v>12000</v>
      </c>
      <c r="AK20" s="68">
        <v>3000</v>
      </c>
      <c r="AL20" s="21"/>
      <c r="AM20" s="20"/>
      <c r="AN20" s="10"/>
      <c r="AO20" s="11"/>
      <c r="AP20" s="24"/>
      <c r="AQ20" s="72">
        <v>10600</v>
      </c>
      <c r="AS20" s="9">
        <v>7500</v>
      </c>
      <c r="AT20" s="9">
        <v>3000</v>
      </c>
      <c r="AU20" s="9">
        <v>8000</v>
      </c>
      <c r="AV20" s="9">
        <v>97500</v>
      </c>
      <c r="AW20" s="9">
        <v>6000</v>
      </c>
      <c r="AX20" s="9">
        <v>1500</v>
      </c>
      <c r="AY20" s="9">
        <v>5000</v>
      </c>
      <c r="AZ20" s="9">
        <v>3500</v>
      </c>
      <c r="BA20" s="11"/>
      <c r="BB20" s="68">
        <v>21130</v>
      </c>
      <c r="BC20" s="68">
        <v>21620</v>
      </c>
      <c r="BD20" s="68">
        <v>5500</v>
      </c>
      <c r="BE20" s="68">
        <v>12900</v>
      </c>
      <c r="BF20" s="68">
        <v>30000</v>
      </c>
      <c r="BG20" s="68">
        <v>5500</v>
      </c>
      <c r="BH20" s="21"/>
      <c r="BI20" s="20" t="s">
        <v>38</v>
      </c>
      <c r="BJ20" s="10">
        <v>14400</v>
      </c>
      <c r="BK20" s="11"/>
      <c r="BL20" s="24"/>
      <c r="BM20" s="72">
        <v>12000</v>
      </c>
      <c r="BO20" s="9">
        <v>4000</v>
      </c>
      <c r="BP20" s="9">
        <v>1000</v>
      </c>
      <c r="BQ20" s="9">
        <v>800</v>
      </c>
      <c r="BR20" s="9">
        <v>1000</v>
      </c>
      <c r="BS20" s="9">
        <v>9500</v>
      </c>
      <c r="BT20" s="9">
        <v>2500</v>
      </c>
      <c r="BU20" s="9">
        <v>7000</v>
      </c>
      <c r="BV20" s="9">
        <v>5000</v>
      </c>
      <c r="BW20" s="11"/>
      <c r="BX20" s="68">
        <v>9600</v>
      </c>
      <c r="BY20" s="68">
        <v>500</v>
      </c>
      <c r="BZ20" s="68">
        <v>61490</v>
      </c>
      <c r="CA20" s="68">
        <v>32750</v>
      </c>
      <c r="CB20" s="68">
        <v>10160</v>
      </c>
      <c r="CC20" s="68">
        <v>900</v>
      </c>
      <c r="CD20" s="21"/>
      <c r="CE20" s="20"/>
      <c r="CF20" s="10"/>
      <c r="CG20" s="11"/>
      <c r="CH20" s="24"/>
      <c r="CI20" s="72">
        <v>10600</v>
      </c>
      <c r="CJ20" s="24"/>
      <c r="CK20" s="9">
        <v>1500</v>
      </c>
      <c r="CL20" s="9">
        <v>12000</v>
      </c>
      <c r="CM20" s="9">
        <v>14500</v>
      </c>
      <c r="CN20" s="9">
        <v>2000</v>
      </c>
      <c r="CO20" s="9">
        <v>1500</v>
      </c>
      <c r="CP20" s="9">
        <v>10000</v>
      </c>
      <c r="CQ20" s="9">
        <v>2500</v>
      </c>
      <c r="CR20" s="9"/>
      <c r="CS20" s="11"/>
      <c r="CT20" s="68">
        <v>30740</v>
      </c>
      <c r="CU20" s="68">
        <v>14890</v>
      </c>
      <c r="CV20" s="10"/>
      <c r="CW20" s="10"/>
      <c r="CX20" s="68">
        <v>50000</v>
      </c>
      <c r="CY20" s="68">
        <v>27000</v>
      </c>
      <c r="CZ20" s="68">
        <v>2000</v>
      </c>
      <c r="DA20" s="21"/>
      <c r="DB20" s="20"/>
      <c r="DC20" s="10"/>
      <c r="DD20" s="11"/>
      <c r="DE20" s="24"/>
      <c r="DF20" s="72">
        <v>10600</v>
      </c>
    </row>
    <row r="21" ht="15" customHeight="1" spans="1:110">
      <c r="A21" s="9">
        <v>5000</v>
      </c>
      <c r="B21" s="9">
        <v>15850</v>
      </c>
      <c r="C21" s="9">
        <v>4000</v>
      </c>
      <c r="D21" s="9">
        <v>15500</v>
      </c>
      <c r="E21" s="9">
        <v>6500</v>
      </c>
      <c r="F21" s="9"/>
      <c r="G21" s="9"/>
      <c r="H21" s="9"/>
      <c r="I21" s="11"/>
      <c r="J21" s="68">
        <v>1380</v>
      </c>
      <c r="K21" s="68">
        <v>11000</v>
      </c>
      <c r="L21" s="10"/>
      <c r="M21" s="10"/>
      <c r="N21" s="10">
        <v>8000</v>
      </c>
      <c r="O21" s="10">
        <v>20500</v>
      </c>
      <c r="P21" s="21"/>
      <c r="Q21" s="20"/>
      <c r="R21" s="10"/>
      <c r="S21" s="11"/>
      <c r="T21" s="24"/>
      <c r="U21" s="72">
        <v>806630</v>
      </c>
      <c r="V21" s="24"/>
      <c r="W21" s="9">
        <v>30000</v>
      </c>
      <c r="X21" s="9">
        <v>3000</v>
      </c>
      <c r="Y21" s="9">
        <v>4000</v>
      </c>
      <c r="Z21" s="9">
        <v>1500</v>
      </c>
      <c r="AA21" s="9">
        <v>38500</v>
      </c>
      <c r="AB21" s="9">
        <v>2500</v>
      </c>
      <c r="AC21" s="9">
        <v>200000</v>
      </c>
      <c r="AD21" s="9">
        <v>6000</v>
      </c>
      <c r="AE21" s="11"/>
      <c r="AF21" s="68">
        <v>14500</v>
      </c>
      <c r="AG21" s="68">
        <v>1000</v>
      </c>
      <c r="AH21" s="68">
        <v>38000</v>
      </c>
      <c r="AI21" s="68">
        <v>35000</v>
      </c>
      <c r="AJ21" s="68">
        <v>5000</v>
      </c>
      <c r="AK21" s="68">
        <v>15000</v>
      </c>
      <c r="AL21" s="21"/>
      <c r="AM21" s="20"/>
      <c r="AN21" s="10"/>
      <c r="AO21" s="11"/>
      <c r="AP21" s="24"/>
      <c r="AQ21" s="72">
        <v>10000</v>
      </c>
      <c r="AS21" s="9">
        <v>1500</v>
      </c>
      <c r="AT21" s="9">
        <v>4000</v>
      </c>
      <c r="AU21" s="9">
        <v>500</v>
      </c>
      <c r="AV21" s="9">
        <v>9500</v>
      </c>
      <c r="AW21" s="9">
        <v>4500</v>
      </c>
      <c r="AX21" s="9">
        <v>1500</v>
      </c>
      <c r="AY21" s="9">
        <v>4000</v>
      </c>
      <c r="AZ21" s="9">
        <v>5000</v>
      </c>
      <c r="BA21" s="11"/>
      <c r="BB21" s="68">
        <v>7690</v>
      </c>
      <c r="BC21" s="68">
        <v>25460</v>
      </c>
      <c r="BD21" s="68">
        <v>2500</v>
      </c>
      <c r="BE21" s="68">
        <v>5500</v>
      </c>
      <c r="BF21" s="68">
        <v>1000</v>
      </c>
      <c r="BG21" s="68">
        <v>24500</v>
      </c>
      <c r="BH21" s="21"/>
      <c r="BI21" s="20" t="s">
        <v>202</v>
      </c>
      <c r="BJ21" s="10">
        <v>119510</v>
      </c>
      <c r="BK21" s="11"/>
      <c r="BL21" s="24"/>
      <c r="BM21" s="72">
        <v>10000</v>
      </c>
      <c r="BO21" s="9">
        <v>4500</v>
      </c>
      <c r="BP21" s="9">
        <v>21000</v>
      </c>
      <c r="BQ21" s="9">
        <v>27000</v>
      </c>
      <c r="BR21" s="9">
        <v>2500</v>
      </c>
      <c r="BS21" s="9">
        <v>8000</v>
      </c>
      <c r="BT21" s="9">
        <v>3000</v>
      </c>
      <c r="BU21" s="9">
        <v>700</v>
      </c>
      <c r="BV21" s="9">
        <v>2000</v>
      </c>
      <c r="BW21" s="11"/>
      <c r="BX21" s="68">
        <v>6500</v>
      </c>
      <c r="BY21" s="68">
        <v>14000</v>
      </c>
      <c r="BZ21" s="68">
        <v>3820</v>
      </c>
      <c r="CA21" s="68">
        <v>19000</v>
      </c>
      <c r="CB21" s="68">
        <v>10160</v>
      </c>
      <c r="CC21" s="68">
        <v>21000</v>
      </c>
      <c r="CD21" s="21"/>
      <c r="CE21" s="20"/>
      <c r="CF21" s="10"/>
      <c r="CG21" s="11"/>
      <c r="CH21" s="24"/>
      <c r="CI21" s="72">
        <v>12000</v>
      </c>
      <c r="CJ21" s="24"/>
      <c r="CK21" s="9">
        <v>10000</v>
      </c>
      <c r="CL21" s="9">
        <v>300</v>
      </c>
      <c r="CM21" s="9">
        <v>1500</v>
      </c>
      <c r="CN21" s="9">
        <v>6000</v>
      </c>
      <c r="CO21" s="9">
        <v>4500</v>
      </c>
      <c r="CP21" s="9">
        <v>9400</v>
      </c>
      <c r="CQ21" s="9">
        <v>4500</v>
      </c>
      <c r="CR21" s="9"/>
      <c r="CS21" s="11"/>
      <c r="CT21" s="68">
        <v>12700</v>
      </c>
      <c r="CU21" s="68">
        <v>8120</v>
      </c>
      <c r="CV21" s="10"/>
      <c r="CW21" s="10"/>
      <c r="CX21" s="68">
        <v>80000</v>
      </c>
      <c r="CY21" s="68">
        <v>800</v>
      </c>
      <c r="CZ21" s="68">
        <v>46500</v>
      </c>
      <c r="DA21" s="21"/>
      <c r="DB21" s="20"/>
      <c r="DC21" s="10"/>
      <c r="DD21" s="11"/>
      <c r="DE21" s="24"/>
      <c r="DF21" s="72">
        <v>17000</v>
      </c>
    </row>
    <row r="22" ht="15.75" customHeight="1" spans="1:110">
      <c r="A22" s="9">
        <v>18000</v>
      </c>
      <c r="B22" s="9">
        <v>1600</v>
      </c>
      <c r="C22" s="9">
        <v>1600</v>
      </c>
      <c r="D22" s="9">
        <v>5000</v>
      </c>
      <c r="E22" s="9">
        <v>1300</v>
      </c>
      <c r="F22" s="9"/>
      <c r="G22" s="9"/>
      <c r="H22" s="9"/>
      <c r="I22" s="11"/>
      <c r="J22" s="68">
        <v>13930</v>
      </c>
      <c r="K22" s="68">
        <v>50000</v>
      </c>
      <c r="L22" s="10"/>
      <c r="M22" s="10"/>
      <c r="N22" s="10">
        <v>10000</v>
      </c>
      <c r="O22" s="10">
        <v>12300</v>
      </c>
      <c r="P22" s="21"/>
      <c r="Q22" s="20"/>
      <c r="R22" s="10"/>
      <c r="S22" s="11"/>
      <c r="T22" s="24"/>
      <c r="U22" s="72">
        <v>170410</v>
      </c>
      <c r="V22" s="24"/>
      <c r="W22" s="9">
        <v>2000</v>
      </c>
      <c r="X22" s="9">
        <v>2500</v>
      </c>
      <c r="Y22" s="9">
        <v>2500</v>
      </c>
      <c r="Z22" s="9">
        <v>3400</v>
      </c>
      <c r="AA22" s="9">
        <v>3500</v>
      </c>
      <c r="AB22" s="9">
        <v>5000</v>
      </c>
      <c r="AC22" s="9">
        <v>200000</v>
      </c>
      <c r="AD22" s="9">
        <v>28000</v>
      </c>
      <c r="AE22" s="11"/>
      <c r="AF22" s="68">
        <v>23540</v>
      </c>
      <c r="AG22" s="68">
        <v>40000</v>
      </c>
      <c r="AH22" s="68">
        <v>10760</v>
      </c>
      <c r="AI22" s="68">
        <v>11000</v>
      </c>
      <c r="AJ22" s="68">
        <v>5000</v>
      </c>
      <c r="AK22" s="68">
        <v>15500</v>
      </c>
      <c r="AL22" s="21"/>
      <c r="AM22" s="20"/>
      <c r="AN22" s="10"/>
      <c r="AO22" s="11"/>
      <c r="AP22" s="24"/>
      <c r="AQ22" s="72">
        <v>102640</v>
      </c>
      <c r="AS22" s="9">
        <v>1500</v>
      </c>
      <c r="AT22" s="9">
        <v>2500</v>
      </c>
      <c r="AU22" s="9">
        <v>2600</v>
      </c>
      <c r="AV22" s="9">
        <v>10000</v>
      </c>
      <c r="AW22" s="9">
        <v>5000</v>
      </c>
      <c r="AX22" s="9">
        <v>1200</v>
      </c>
      <c r="AY22" s="9">
        <v>3000</v>
      </c>
      <c r="AZ22" s="9">
        <v>4500</v>
      </c>
      <c r="BA22" s="11"/>
      <c r="BB22" s="68">
        <v>5280</v>
      </c>
      <c r="BC22" s="68">
        <v>4130</v>
      </c>
      <c r="BD22" s="68">
        <v>3840</v>
      </c>
      <c r="BE22" s="68">
        <v>19000</v>
      </c>
      <c r="BF22" s="68">
        <v>20700</v>
      </c>
      <c r="BG22" s="68">
        <v>7000</v>
      </c>
      <c r="BH22" s="21"/>
      <c r="BI22" s="20" t="s">
        <v>5</v>
      </c>
      <c r="BJ22" s="10">
        <v>703104</v>
      </c>
      <c r="BK22" s="11"/>
      <c r="BL22" s="24"/>
      <c r="BM22" s="72">
        <v>10600</v>
      </c>
      <c r="BO22" s="9">
        <v>20000</v>
      </c>
      <c r="BP22" s="9">
        <v>2500</v>
      </c>
      <c r="BQ22" s="9">
        <v>4800</v>
      </c>
      <c r="BR22" s="9">
        <v>5500</v>
      </c>
      <c r="BS22" s="9">
        <v>2500</v>
      </c>
      <c r="BT22" s="9">
        <v>1500</v>
      </c>
      <c r="BU22" s="9">
        <v>3800</v>
      </c>
      <c r="BV22" s="9">
        <v>2000</v>
      </c>
      <c r="BW22" s="11"/>
      <c r="BX22" s="68">
        <v>10100</v>
      </c>
      <c r="BY22" s="68">
        <v>18290</v>
      </c>
      <c r="BZ22" s="10"/>
      <c r="CA22" s="68">
        <v>15000</v>
      </c>
      <c r="CB22" s="68">
        <v>8500</v>
      </c>
      <c r="CC22" s="68">
        <v>4500</v>
      </c>
      <c r="CD22" s="21"/>
      <c r="CE22" s="20"/>
      <c r="CF22" s="10"/>
      <c r="CG22" s="11"/>
      <c r="CH22" s="24"/>
      <c r="CI22" s="72">
        <v>2000000</v>
      </c>
      <c r="CJ22" s="24"/>
      <c r="CK22" s="9">
        <v>2500</v>
      </c>
      <c r="CL22" s="9">
        <v>9500</v>
      </c>
      <c r="CM22" s="9">
        <v>2000</v>
      </c>
      <c r="CN22" s="9">
        <v>15000</v>
      </c>
      <c r="CO22" s="9">
        <v>4500</v>
      </c>
      <c r="CP22" s="9">
        <v>1000</v>
      </c>
      <c r="CQ22" s="9">
        <v>4000</v>
      </c>
      <c r="CR22" s="9"/>
      <c r="CS22" s="11"/>
      <c r="CT22" s="68">
        <v>11000</v>
      </c>
      <c r="CU22" s="68">
        <v>18000</v>
      </c>
      <c r="CV22" s="10"/>
      <c r="CW22" s="10"/>
      <c r="CX22" s="68">
        <v>8500</v>
      </c>
      <c r="CY22" s="68">
        <v>19000</v>
      </c>
      <c r="CZ22" s="68">
        <v>6500</v>
      </c>
      <c r="DA22" s="21"/>
      <c r="DB22" s="20"/>
      <c r="DC22" s="10"/>
      <c r="DD22" s="11"/>
      <c r="DE22" s="24"/>
      <c r="DF22" s="72">
        <v>10000</v>
      </c>
    </row>
    <row r="23" spans="1:110">
      <c r="A23" s="9">
        <v>5000</v>
      </c>
      <c r="B23" s="9">
        <v>10000</v>
      </c>
      <c r="C23" s="9">
        <v>1000</v>
      </c>
      <c r="D23" s="9">
        <v>8500</v>
      </c>
      <c r="E23" s="9">
        <v>21500</v>
      </c>
      <c r="F23" s="9"/>
      <c r="G23" s="9"/>
      <c r="H23" s="9"/>
      <c r="I23" s="11"/>
      <c r="J23" s="68">
        <v>24000</v>
      </c>
      <c r="K23" s="68">
        <v>3340</v>
      </c>
      <c r="L23" s="10"/>
      <c r="M23" s="10"/>
      <c r="N23" s="10">
        <v>39000</v>
      </c>
      <c r="O23" s="10">
        <v>120000</v>
      </c>
      <c r="P23" s="21"/>
      <c r="Q23" s="20"/>
      <c r="R23" s="10"/>
      <c r="S23" s="11"/>
      <c r="T23" s="24"/>
      <c r="U23" s="72">
        <v>10600</v>
      </c>
      <c r="V23" s="24"/>
      <c r="W23" s="9">
        <v>2000</v>
      </c>
      <c r="X23" s="9">
        <v>12000</v>
      </c>
      <c r="Y23" s="9">
        <v>62500</v>
      </c>
      <c r="Z23" s="9">
        <v>1200</v>
      </c>
      <c r="AA23" s="9">
        <v>3000</v>
      </c>
      <c r="AB23" s="9">
        <v>4000</v>
      </c>
      <c r="AC23" s="9">
        <v>3000</v>
      </c>
      <c r="AD23" s="9">
        <v>20300</v>
      </c>
      <c r="AE23" s="11"/>
      <c r="AF23" s="68">
        <v>9700</v>
      </c>
      <c r="AG23" s="68">
        <v>8000</v>
      </c>
      <c r="AH23" s="68">
        <v>12970</v>
      </c>
      <c r="AI23" s="68">
        <v>6000</v>
      </c>
      <c r="AJ23" s="68">
        <v>5000</v>
      </c>
      <c r="AK23" s="68">
        <v>8000</v>
      </c>
      <c r="AL23" s="21"/>
      <c r="AM23" s="20"/>
      <c r="AN23" s="10"/>
      <c r="AO23" s="11"/>
      <c r="AP23" s="24"/>
      <c r="AQ23" s="72">
        <v>10600</v>
      </c>
      <c r="AS23" s="9">
        <v>5000</v>
      </c>
      <c r="AT23" s="9">
        <v>8000</v>
      </c>
      <c r="AU23" s="9">
        <v>10000</v>
      </c>
      <c r="AV23" s="9">
        <v>9000</v>
      </c>
      <c r="AW23" s="9">
        <v>6000</v>
      </c>
      <c r="AX23" s="9">
        <v>5000</v>
      </c>
      <c r="AY23" s="9">
        <v>6500</v>
      </c>
      <c r="AZ23" s="9">
        <v>2000</v>
      </c>
      <c r="BA23" s="11"/>
      <c r="BB23" s="68">
        <v>10090</v>
      </c>
      <c r="BC23" s="68">
        <v>20830</v>
      </c>
      <c r="BD23" s="68">
        <v>2000</v>
      </c>
      <c r="BE23" s="68">
        <v>1500</v>
      </c>
      <c r="BF23" s="68">
        <v>5000</v>
      </c>
      <c r="BG23" s="68">
        <v>13000</v>
      </c>
      <c r="BH23" s="21"/>
      <c r="BI23" s="20" t="s">
        <v>19</v>
      </c>
      <c r="BJ23" s="10">
        <v>565842</v>
      </c>
      <c r="BK23" s="11"/>
      <c r="BL23" s="24"/>
      <c r="BM23" s="72">
        <v>12000</v>
      </c>
      <c r="BO23" s="9">
        <v>12000</v>
      </c>
      <c r="BP23" s="9">
        <v>7000</v>
      </c>
      <c r="BQ23" s="9">
        <v>300000</v>
      </c>
      <c r="BR23" s="9">
        <v>12490</v>
      </c>
      <c r="BS23" s="9">
        <v>2500</v>
      </c>
      <c r="BT23" s="9">
        <v>1500</v>
      </c>
      <c r="BU23" s="9">
        <v>12000</v>
      </c>
      <c r="BV23" s="9"/>
      <c r="BW23" s="11"/>
      <c r="BX23" s="68">
        <v>7500</v>
      </c>
      <c r="BY23" s="68">
        <v>9600</v>
      </c>
      <c r="BZ23" s="10"/>
      <c r="CA23" s="68">
        <v>7000</v>
      </c>
      <c r="CB23" s="68">
        <v>18000</v>
      </c>
      <c r="CC23" s="68">
        <v>5000</v>
      </c>
      <c r="CD23" s="21"/>
      <c r="CE23" s="20"/>
      <c r="CF23" s="10"/>
      <c r="CG23" s="11"/>
      <c r="CH23" s="24"/>
      <c r="CI23" s="72">
        <v>12000</v>
      </c>
      <c r="CJ23" s="24"/>
      <c r="CK23" s="9">
        <v>2000</v>
      </c>
      <c r="CL23" s="9">
        <v>8600</v>
      </c>
      <c r="CM23" s="9">
        <v>6000</v>
      </c>
      <c r="CN23" s="9">
        <v>2500</v>
      </c>
      <c r="CO23" s="9">
        <v>5000</v>
      </c>
      <c r="CP23" s="9">
        <v>12500</v>
      </c>
      <c r="CQ23" s="9">
        <v>1600</v>
      </c>
      <c r="CR23" s="9"/>
      <c r="CS23" s="11"/>
      <c r="CT23" s="68">
        <v>1800</v>
      </c>
      <c r="CU23" s="68">
        <v>3840</v>
      </c>
      <c r="CV23" s="10"/>
      <c r="CW23" s="10"/>
      <c r="CX23" s="68">
        <v>15000</v>
      </c>
      <c r="CY23" s="68">
        <v>10000</v>
      </c>
      <c r="CZ23" s="68">
        <v>49000</v>
      </c>
      <c r="DA23" s="21"/>
      <c r="DB23" s="20"/>
      <c r="DC23" s="10"/>
      <c r="DD23" s="11"/>
      <c r="DE23" s="24"/>
      <c r="DF23" s="72">
        <v>120000</v>
      </c>
    </row>
    <row r="24" spans="1:110">
      <c r="A24" s="9">
        <v>2400</v>
      </c>
      <c r="B24" s="9">
        <v>5000</v>
      </c>
      <c r="C24" s="9">
        <v>3000</v>
      </c>
      <c r="D24" s="9">
        <v>6000</v>
      </c>
      <c r="E24" s="9">
        <v>1000</v>
      </c>
      <c r="F24" s="9"/>
      <c r="G24" s="9"/>
      <c r="H24" s="9"/>
      <c r="I24" s="11"/>
      <c r="J24" s="68">
        <v>16230</v>
      </c>
      <c r="K24" s="68">
        <v>6000</v>
      </c>
      <c r="L24" s="10"/>
      <c r="M24" s="10"/>
      <c r="N24" s="10">
        <v>14400</v>
      </c>
      <c r="O24" s="10">
        <v>7000</v>
      </c>
      <c r="P24" s="21"/>
      <c r="Q24" s="20"/>
      <c r="R24" s="10"/>
      <c r="S24" s="11"/>
      <c r="T24" s="24"/>
      <c r="U24" s="72">
        <v>12000</v>
      </c>
      <c r="V24" s="24"/>
      <c r="W24" s="9">
        <v>300</v>
      </c>
      <c r="X24" s="9">
        <v>4000</v>
      </c>
      <c r="Y24" s="9">
        <v>11000</v>
      </c>
      <c r="Z24" s="9">
        <v>7500</v>
      </c>
      <c r="AA24" s="9">
        <v>3500</v>
      </c>
      <c r="AB24" s="9">
        <v>3500</v>
      </c>
      <c r="AC24" s="9">
        <v>5500</v>
      </c>
      <c r="AD24" s="9">
        <v>11000</v>
      </c>
      <c r="AE24" s="11"/>
      <c r="AF24" s="68">
        <v>6000</v>
      </c>
      <c r="AG24" s="68">
        <v>16000</v>
      </c>
      <c r="AH24" s="68">
        <v>8640</v>
      </c>
      <c r="AI24" s="68">
        <v>13000</v>
      </c>
      <c r="AJ24" s="68">
        <v>10000</v>
      </c>
      <c r="AK24" s="68">
        <v>13500</v>
      </c>
      <c r="AL24" s="21"/>
      <c r="AM24" s="20"/>
      <c r="AN24" s="10"/>
      <c r="AO24" s="11"/>
      <c r="AP24" s="24"/>
      <c r="AQ24" s="72">
        <v>287800</v>
      </c>
      <c r="AS24" s="9">
        <v>3000</v>
      </c>
      <c r="AT24" s="9">
        <v>2000</v>
      </c>
      <c r="AU24" s="9">
        <v>3000</v>
      </c>
      <c r="AV24" s="9">
        <v>11000</v>
      </c>
      <c r="AW24" s="9">
        <v>1600</v>
      </c>
      <c r="AX24" s="9">
        <v>12000</v>
      </c>
      <c r="AY24" s="9">
        <v>2500</v>
      </c>
      <c r="AZ24" s="9">
        <v>1500</v>
      </c>
      <c r="BA24" s="11"/>
      <c r="BB24" s="68">
        <v>960</v>
      </c>
      <c r="BC24" s="68">
        <v>3500</v>
      </c>
      <c r="BD24" s="68">
        <v>17000</v>
      </c>
      <c r="BE24" s="68">
        <v>37000</v>
      </c>
      <c r="BF24" s="68">
        <v>3600</v>
      </c>
      <c r="BG24" s="68">
        <v>10500</v>
      </c>
      <c r="BH24" s="21"/>
      <c r="BI24" s="20"/>
      <c r="BJ24" s="10"/>
      <c r="BK24" s="11"/>
      <c r="BL24" s="24"/>
      <c r="BM24" s="72">
        <v>18600</v>
      </c>
      <c r="BO24" s="9">
        <v>10000</v>
      </c>
      <c r="BP24" s="9">
        <v>5000</v>
      </c>
      <c r="BQ24" s="9">
        <v>1500</v>
      </c>
      <c r="BR24" s="9">
        <v>2500</v>
      </c>
      <c r="BS24" s="9">
        <v>1000</v>
      </c>
      <c r="BT24" s="9">
        <v>2000</v>
      </c>
      <c r="BU24" s="9">
        <v>4000</v>
      </c>
      <c r="BV24" s="9"/>
      <c r="BW24" s="11"/>
      <c r="BX24" s="68">
        <v>4000</v>
      </c>
      <c r="BY24" s="68">
        <v>3000</v>
      </c>
      <c r="BZ24" s="10"/>
      <c r="CA24" s="68">
        <v>500</v>
      </c>
      <c r="CB24" s="68">
        <v>17000</v>
      </c>
      <c r="CC24" s="68">
        <v>22000</v>
      </c>
      <c r="CD24" s="21"/>
      <c r="CE24" s="20"/>
      <c r="CF24" s="10"/>
      <c r="CG24" s="11"/>
      <c r="CH24" s="24"/>
      <c r="CI24" s="72">
        <v>5000</v>
      </c>
      <c r="CJ24" s="24"/>
      <c r="CK24" s="9">
        <v>1500</v>
      </c>
      <c r="CL24" s="9">
        <v>4000</v>
      </c>
      <c r="CM24" s="9">
        <v>8000</v>
      </c>
      <c r="CN24" s="9">
        <v>8500</v>
      </c>
      <c r="CO24" s="9">
        <v>4000</v>
      </c>
      <c r="CP24" s="9">
        <v>75000</v>
      </c>
      <c r="CQ24" s="9">
        <v>4500</v>
      </c>
      <c r="CR24" s="9"/>
      <c r="CS24" s="11"/>
      <c r="CT24" s="68">
        <v>3800</v>
      </c>
      <c r="CU24" s="68">
        <v>6100</v>
      </c>
      <c r="CV24" s="10"/>
      <c r="CW24" s="10"/>
      <c r="CX24" s="68">
        <v>2500</v>
      </c>
      <c r="CY24" s="68">
        <v>11000</v>
      </c>
      <c r="CZ24" s="68">
        <v>4100</v>
      </c>
      <c r="DA24" s="21"/>
      <c r="DB24" s="20"/>
      <c r="DC24" s="10"/>
      <c r="DD24" s="11"/>
      <c r="DE24" s="24"/>
      <c r="DF24" s="72">
        <v>12000</v>
      </c>
    </row>
    <row r="25" spans="1:110">
      <c r="A25" s="9">
        <v>22000</v>
      </c>
      <c r="B25" s="9">
        <v>6000</v>
      </c>
      <c r="C25" s="9">
        <v>43500</v>
      </c>
      <c r="D25" s="9">
        <v>29000</v>
      </c>
      <c r="E25" s="9">
        <v>4000</v>
      </c>
      <c r="F25" s="9"/>
      <c r="G25" s="9"/>
      <c r="H25" s="9"/>
      <c r="I25" s="11"/>
      <c r="J25" s="68">
        <v>2000</v>
      </c>
      <c r="K25" s="68">
        <v>3200</v>
      </c>
      <c r="L25" s="10"/>
      <c r="M25" s="10"/>
      <c r="N25" s="10">
        <v>16000</v>
      </c>
      <c r="O25" s="10">
        <v>30000</v>
      </c>
      <c r="P25" s="21"/>
      <c r="Q25" s="20"/>
      <c r="R25" s="10"/>
      <c r="S25" s="11"/>
      <c r="T25" s="24"/>
      <c r="U25" s="72"/>
      <c r="V25" s="24"/>
      <c r="W25" s="9">
        <v>1000</v>
      </c>
      <c r="X25" s="9">
        <v>12000</v>
      </c>
      <c r="Y25" s="9">
        <v>2000</v>
      </c>
      <c r="Z25" s="9">
        <v>1000</v>
      </c>
      <c r="AA25" s="9">
        <v>6000</v>
      </c>
      <c r="AB25" s="9">
        <v>6800</v>
      </c>
      <c r="AC25" s="9">
        <v>2500</v>
      </c>
      <c r="AD25" s="9">
        <v>1500</v>
      </c>
      <c r="AE25" s="11"/>
      <c r="AF25" s="68">
        <v>19310</v>
      </c>
      <c r="AG25" s="68">
        <v>17900</v>
      </c>
      <c r="AH25" s="10"/>
      <c r="AI25" s="68">
        <v>20500</v>
      </c>
      <c r="AJ25" s="68">
        <v>2000</v>
      </c>
      <c r="AK25" s="68">
        <v>1000</v>
      </c>
      <c r="AL25" s="21"/>
      <c r="AM25" s="20"/>
      <c r="AN25" s="10"/>
      <c r="AO25" s="11"/>
      <c r="AP25" s="24"/>
      <c r="AQ25" s="72">
        <v>10000</v>
      </c>
      <c r="AS25" s="9">
        <v>7500</v>
      </c>
      <c r="AT25" s="9">
        <v>5800</v>
      </c>
      <c r="AU25" s="9">
        <v>1500</v>
      </c>
      <c r="AV25" s="9">
        <v>4000</v>
      </c>
      <c r="AW25" s="9">
        <v>2000</v>
      </c>
      <c r="AX25" s="9">
        <v>500</v>
      </c>
      <c r="AY25" s="9">
        <v>3000</v>
      </c>
      <c r="AZ25" s="9">
        <v>5000</v>
      </c>
      <c r="BA25" s="11"/>
      <c r="BB25" s="68">
        <v>40000</v>
      </c>
      <c r="BC25" s="68">
        <v>22780</v>
      </c>
      <c r="BD25" s="10"/>
      <c r="BE25" s="68">
        <v>12000</v>
      </c>
      <c r="BF25" s="68">
        <v>2000</v>
      </c>
      <c r="BG25" s="68">
        <v>4800</v>
      </c>
      <c r="BH25" s="21"/>
      <c r="BI25" s="20"/>
      <c r="BJ25" s="10"/>
      <c r="BK25" s="11"/>
      <c r="BL25" s="24"/>
      <c r="BM25" s="72">
        <v>300000</v>
      </c>
      <c r="BO25" s="9">
        <v>1000</v>
      </c>
      <c r="BP25" s="9">
        <v>2000</v>
      </c>
      <c r="BQ25" s="9">
        <v>5000</v>
      </c>
      <c r="BR25" s="9">
        <v>9700</v>
      </c>
      <c r="BS25" s="9">
        <v>1000</v>
      </c>
      <c r="BT25" s="9">
        <v>12500</v>
      </c>
      <c r="BU25" s="9">
        <v>3000</v>
      </c>
      <c r="BV25" s="9"/>
      <c r="BW25" s="11"/>
      <c r="BX25" s="68">
        <v>13500</v>
      </c>
      <c r="BY25" s="68">
        <v>15500</v>
      </c>
      <c r="BZ25" s="10"/>
      <c r="CA25" s="68">
        <v>6900</v>
      </c>
      <c r="CB25" s="68">
        <v>5000</v>
      </c>
      <c r="CC25" s="68">
        <v>7500</v>
      </c>
      <c r="CD25" s="21"/>
      <c r="CE25" s="20"/>
      <c r="CF25" s="10"/>
      <c r="CG25" s="11"/>
      <c r="CH25" s="24"/>
      <c r="CI25" s="72">
        <v>5600</v>
      </c>
      <c r="CJ25" s="24"/>
      <c r="CK25" s="9">
        <v>24400</v>
      </c>
      <c r="CL25" s="9">
        <v>600</v>
      </c>
      <c r="CM25" s="9">
        <v>13400</v>
      </c>
      <c r="CN25" s="9">
        <v>2000</v>
      </c>
      <c r="CO25" s="9">
        <v>46000</v>
      </c>
      <c r="CP25" s="9">
        <v>4500</v>
      </c>
      <c r="CQ25" s="9">
        <v>4400</v>
      </c>
      <c r="CR25" s="9"/>
      <c r="CS25" s="11"/>
      <c r="CT25" s="68">
        <v>26930</v>
      </c>
      <c r="CU25" s="68">
        <v>3150</v>
      </c>
      <c r="CV25" s="10"/>
      <c r="CW25" s="10"/>
      <c r="CX25" s="68">
        <v>2000</v>
      </c>
      <c r="CY25" s="68">
        <v>17000</v>
      </c>
      <c r="CZ25" s="68">
        <v>3500</v>
      </c>
      <c r="DA25" s="21"/>
      <c r="DB25" s="20"/>
      <c r="DC25" s="10"/>
      <c r="DD25" s="11"/>
      <c r="DE25" s="24"/>
      <c r="DF25" s="72">
        <v>5000</v>
      </c>
    </row>
    <row r="26" spans="1:110">
      <c r="A26" s="9">
        <v>4000</v>
      </c>
      <c r="B26" s="9">
        <v>1200</v>
      </c>
      <c r="C26" s="9">
        <v>14000</v>
      </c>
      <c r="D26" s="9">
        <v>44800</v>
      </c>
      <c r="E26" s="9">
        <v>5000</v>
      </c>
      <c r="F26" s="9"/>
      <c r="G26" s="9"/>
      <c r="H26" s="9"/>
      <c r="I26" s="11"/>
      <c r="J26" s="68">
        <v>9200</v>
      </c>
      <c r="K26" s="68">
        <v>4500</v>
      </c>
      <c r="L26" s="10"/>
      <c r="M26" s="10"/>
      <c r="N26" s="10">
        <v>3000</v>
      </c>
      <c r="O26" s="10">
        <v>10000</v>
      </c>
      <c r="P26" s="21"/>
      <c r="Q26" s="20"/>
      <c r="R26" s="10"/>
      <c r="S26" s="11"/>
      <c r="T26" s="24"/>
      <c r="U26" s="72"/>
      <c r="V26" s="24"/>
      <c r="W26" s="9">
        <v>4500</v>
      </c>
      <c r="X26" s="9">
        <v>3800</v>
      </c>
      <c r="Y26" s="9">
        <v>3500</v>
      </c>
      <c r="Z26" s="9">
        <v>5000</v>
      </c>
      <c r="AA26" s="9">
        <v>3000</v>
      </c>
      <c r="AB26" s="9">
        <v>23700</v>
      </c>
      <c r="AC26" s="9">
        <v>11000</v>
      </c>
      <c r="AD26" s="9">
        <v>9500</v>
      </c>
      <c r="AE26" s="11"/>
      <c r="AF26" s="68">
        <v>28500</v>
      </c>
      <c r="AG26" s="68">
        <v>52000</v>
      </c>
      <c r="AH26" s="10"/>
      <c r="AI26" s="68">
        <v>6200</v>
      </c>
      <c r="AJ26" s="68">
        <v>3600</v>
      </c>
      <c r="AK26" s="68">
        <v>37500</v>
      </c>
      <c r="AL26" s="21"/>
      <c r="AM26" s="20"/>
      <c r="AN26" s="10"/>
      <c r="AO26" s="11"/>
      <c r="AP26" s="24"/>
      <c r="AQ26" s="72">
        <v>151000</v>
      </c>
      <c r="AS26" s="9">
        <v>5000</v>
      </c>
      <c r="AT26" s="9">
        <v>6000</v>
      </c>
      <c r="AU26" s="9">
        <v>21000</v>
      </c>
      <c r="AV26" s="9">
        <v>38000</v>
      </c>
      <c r="AW26" s="9">
        <v>7500</v>
      </c>
      <c r="AX26" s="9">
        <v>2000</v>
      </c>
      <c r="AY26" s="9">
        <v>16000</v>
      </c>
      <c r="AZ26" s="9">
        <v>10000</v>
      </c>
      <c r="BA26" s="11"/>
      <c r="BB26" s="68">
        <v>67160</v>
      </c>
      <c r="BC26" s="68">
        <v>65550</v>
      </c>
      <c r="BD26" s="10"/>
      <c r="BE26" s="68">
        <v>48000</v>
      </c>
      <c r="BF26" s="68">
        <v>12000</v>
      </c>
      <c r="BG26" s="68">
        <v>9000</v>
      </c>
      <c r="BH26" s="21"/>
      <c r="BI26" s="20"/>
      <c r="BJ26" s="10"/>
      <c r="BK26" s="11"/>
      <c r="BL26" s="24"/>
      <c r="BM26" s="72">
        <v>111000</v>
      </c>
      <c r="BO26" s="9">
        <v>15000</v>
      </c>
      <c r="BP26" s="9">
        <v>4500</v>
      </c>
      <c r="BQ26" s="9">
        <v>11200</v>
      </c>
      <c r="BR26" s="9">
        <v>24900</v>
      </c>
      <c r="BS26" s="9">
        <v>4800</v>
      </c>
      <c r="BT26" s="9">
        <v>8000</v>
      </c>
      <c r="BU26" s="9">
        <v>3000</v>
      </c>
      <c r="BV26" s="9"/>
      <c r="BW26" s="11"/>
      <c r="BX26" s="68">
        <v>10970</v>
      </c>
      <c r="BY26" s="68">
        <v>500</v>
      </c>
      <c r="BZ26" s="10"/>
      <c r="CA26" s="68">
        <v>5000</v>
      </c>
      <c r="CB26" s="68">
        <v>2000</v>
      </c>
      <c r="CC26" s="68">
        <v>4000</v>
      </c>
      <c r="CD26" s="21"/>
      <c r="CE26" s="20"/>
      <c r="CF26" s="10"/>
      <c r="CG26" s="11"/>
      <c r="CH26" s="24"/>
      <c r="CI26" s="72">
        <v>12000</v>
      </c>
      <c r="CJ26" s="24"/>
      <c r="CK26" s="9">
        <v>51000</v>
      </c>
      <c r="CL26" s="9">
        <v>4500</v>
      </c>
      <c r="CM26" s="9">
        <v>1500</v>
      </c>
      <c r="CN26" s="9">
        <v>1000</v>
      </c>
      <c r="CO26" s="9">
        <v>2000</v>
      </c>
      <c r="CP26" s="9">
        <v>1500</v>
      </c>
      <c r="CQ26" s="9">
        <v>2000</v>
      </c>
      <c r="CR26" s="9"/>
      <c r="CS26" s="11"/>
      <c r="CT26" s="68">
        <v>3360</v>
      </c>
      <c r="CU26" s="68">
        <v>14890</v>
      </c>
      <c r="CV26" s="10"/>
      <c r="CW26" s="10"/>
      <c r="CX26" s="68">
        <v>16300</v>
      </c>
      <c r="CY26" s="68">
        <v>14500</v>
      </c>
      <c r="CZ26" s="68">
        <v>5500</v>
      </c>
      <c r="DA26" s="21"/>
      <c r="DB26" s="20"/>
      <c r="DC26" s="10"/>
      <c r="DD26" s="11"/>
      <c r="DE26" s="24"/>
      <c r="DF26" s="72">
        <v>5600</v>
      </c>
    </row>
    <row r="27" spans="1:110">
      <c r="A27" s="9">
        <v>2500</v>
      </c>
      <c r="B27" s="9">
        <v>1000</v>
      </c>
      <c r="C27" s="9">
        <v>5000</v>
      </c>
      <c r="D27" s="9">
        <v>12000</v>
      </c>
      <c r="E27" s="9">
        <v>13500</v>
      </c>
      <c r="F27" s="9"/>
      <c r="G27" s="9"/>
      <c r="H27" s="9"/>
      <c r="I27" s="11"/>
      <c r="J27" s="68">
        <v>2880</v>
      </c>
      <c r="K27" s="68">
        <v>5760</v>
      </c>
      <c r="L27" s="10"/>
      <c r="M27" s="10"/>
      <c r="N27" s="10">
        <v>6000</v>
      </c>
      <c r="O27" s="10">
        <v>15000</v>
      </c>
      <c r="P27" s="21"/>
      <c r="Q27" s="20"/>
      <c r="R27" s="10"/>
      <c r="S27" s="11"/>
      <c r="T27" s="24"/>
      <c r="U27" s="72"/>
      <c r="V27" s="24"/>
      <c r="W27" s="9">
        <v>37500</v>
      </c>
      <c r="X27" s="9">
        <v>5500</v>
      </c>
      <c r="Y27" s="9">
        <v>1500</v>
      </c>
      <c r="Z27" s="9">
        <v>2500</v>
      </c>
      <c r="AA27" s="9">
        <v>10000</v>
      </c>
      <c r="AB27" s="9">
        <v>1500</v>
      </c>
      <c r="AC27" s="9">
        <v>2000</v>
      </c>
      <c r="AD27" s="9">
        <v>3500</v>
      </c>
      <c r="AE27" s="11"/>
      <c r="AF27" s="68">
        <v>950</v>
      </c>
      <c r="AG27" s="68">
        <v>7680</v>
      </c>
      <c r="AH27" s="10"/>
      <c r="AI27" s="68">
        <v>8300</v>
      </c>
      <c r="AJ27" s="68">
        <v>3000</v>
      </c>
      <c r="AK27" s="68">
        <v>3000</v>
      </c>
      <c r="AL27" s="21"/>
      <c r="AM27" s="20"/>
      <c r="AN27" s="10"/>
      <c r="AO27" s="11"/>
      <c r="AP27" s="24"/>
      <c r="AQ27" s="72">
        <v>10000</v>
      </c>
      <c r="AS27" s="9">
        <v>2000</v>
      </c>
      <c r="AT27" s="9">
        <v>1000</v>
      </c>
      <c r="AU27" s="9">
        <v>1200</v>
      </c>
      <c r="AV27" s="9">
        <v>1500</v>
      </c>
      <c r="AW27" s="9">
        <v>3000</v>
      </c>
      <c r="AX27" s="9">
        <v>18000</v>
      </c>
      <c r="AY27" s="9">
        <v>2000</v>
      </c>
      <c r="AZ27" s="9">
        <v>4000</v>
      </c>
      <c r="BA27" s="11"/>
      <c r="BB27" s="68">
        <v>8000</v>
      </c>
      <c r="BC27" s="68">
        <v>13500</v>
      </c>
      <c r="BD27" s="10"/>
      <c r="BE27" s="68">
        <v>12100</v>
      </c>
      <c r="BF27" s="68">
        <v>26000</v>
      </c>
      <c r="BG27" s="68">
        <v>4000</v>
      </c>
      <c r="BH27" s="21"/>
      <c r="BI27" s="20"/>
      <c r="BJ27" s="10"/>
      <c r="BK27" s="11"/>
      <c r="BL27" s="24"/>
      <c r="BM27" s="72">
        <v>18000</v>
      </c>
      <c r="BO27" s="9">
        <v>3000</v>
      </c>
      <c r="BP27" s="9">
        <v>7000</v>
      </c>
      <c r="BQ27" s="9">
        <v>11000</v>
      </c>
      <c r="BR27" s="9">
        <v>48750</v>
      </c>
      <c r="BS27" s="9">
        <v>4000</v>
      </c>
      <c r="BT27" s="9">
        <v>10000</v>
      </c>
      <c r="BU27" s="9">
        <v>6000</v>
      </c>
      <c r="BV27" s="9"/>
      <c r="BW27" s="11"/>
      <c r="BX27" s="68">
        <v>2860</v>
      </c>
      <c r="BY27" s="68">
        <v>5500</v>
      </c>
      <c r="BZ27" s="10"/>
      <c r="CA27" s="68">
        <v>38000</v>
      </c>
      <c r="CB27" s="68">
        <v>1500</v>
      </c>
      <c r="CC27" s="68">
        <v>6500</v>
      </c>
      <c r="CD27" s="21"/>
      <c r="CE27" s="20"/>
      <c r="CF27" s="10"/>
      <c r="CG27" s="11"/>
      <c r="CH27" s="24"/>
      <c r="CI27" s="72">
        <v>18000</v>
      </c>
      <c r="CJ27" s="24"/>
      <c r="CK27" s="9">
        <v>1000</v>
      </c>
      <c r="CL27" s="9">
        <v>8000</v>
      </c>
      <c r="CM27" s="9">
        <v>1500</v>
      </c>
      <c r="CN27" s="9">
        <v>3000</v>
      </c>
      <c r="CO27" s="9">
        <v>2500</v>
      </c>
      <c r="CP27" s="9">
        <v>2500</v>
      </c>
      <c r="CQ27" s="9">
        <v>1000</v>
      </c>
      <c r="CR27" s="9"/>
      <c r="CS27" s="11"/>
      <c r="CT27" s="68">
        <v>3000</v>
      </c>
      <c r="CU27" s="68">
        <v>5280</v>
      </c>
      <c r="CV27" s="10"/>
      <c r="CW27" s="10"/>
      <c r="CX27" s="68">
        <v>6000</v>
      </c>
      <c r="CY27" s="68">
        <v>1000</v>
      </c>
      <c r="CZ27" s="68">
        <v>6500</v>
      </c>
      <c r="DA27" s="21"/>
      <c r="DB27" s="20"/>
      <c r="DC27" s="10"/>
      <c r="DD27" s="11"/>
      <c r="DE27" s="24"/>
      <c r="DF27" s="72">
        <v>10000</v>
      </c>
    </row>
    <row r="28" spans="1:110">
      <c r="A28" s="9">
        <v>35000</v>
      </c>
      <c r="B28" s="9">
        <v>5800</v>
      </c>
      <c r="C28" s="9">
        <v>800</v>
      </c>
      <c r="D28" s="9">
        <v>8000</v>
      </c>
      <c r="E28" s="9">
        <v>26000</v>
      </c>
      <c r="F28" s="9"/>
      <c r="G28" s="9"/>
      <c r="H28" s="9"/>
      <c r="I28" s="11"/>
      <c r="J28" s="68">
        <v>88380</v>
      </c>
      <c r="K28" s="68">
        <v>43500</v>
      </c>
      <c r="L28" s="10"/>
      <c r="M28" s="10"/>
      <c r="N28" s="10">
        <v>39300</v>
      </c>
      <c r="O28" s="10">
        <v>14000</v>
      </c>
      <c r="P28" s="21"/>
      <c r="Q28" s="20"/>
      <c r="R28" s="10"/>
      <c r="S28" s="11"/>
      <c r="T28" s="24"/>
      <c r="U28" s="72"/>
      <c r="V28" s="24"/>
      <c r="W28" s="9">
        <v>3000</v>
      </c>
      <c r="X28" s="9">
        <v>2500</v>
      </c>
      <c r="Y28" s="9">
        <v>2500</v>
      </c>
      <c r="Z28" s="9">
        <v>3000</v>
      </c>
      <c r="AA28" s="9">
        <v>3500</v>
      </c>
      <c r="AB28" s="9">
        <v>5500</v>
      </c>
      <c r="AC28" s="9">
        <v>11500</v>
      </c>
      <c r="AD28" s="9">
        <v>6500</v>
      </c>
      <c r="AE28" s="11"/>
      <c r="AF28" s="68">
        <v>480</v>
      </c>
      <c r="AG28" s="68">
        <v>46190</v>
      </c>
      <c r="AH28" s="10"/>
      <c r="AI28" s="68">
        <v>33100</v>
      </c>
      <c r="AJ28" s="68">
        <v>14500</v>
      </c>
      <c r="AK28" s="68">
        <v>34000</v>
      </c>
      <c r="AL28" s="21"/>
      <c r="AM28" s="20"/>
      <c r="AN28" s="10"/>
      <c r="AO28" s="11"/>
      <c r="AP28" s="24"/>
      <c r="AQ28" s="72">
        <v>6000</v>
      </c>
      <c r="AS28" s="9">
        <v>600</v>
      </c>
      <c r="AT28" s="9">
        <v>6000</v>
      </c>
      <c r="AU28" s="9">
        <v>4500</v>
      </c>
      <c r="AV28" s="9">
        <v>40000</v>
      </c>
      <c r="AW28" s="9">
        <v>2000</v>
      </c>
      <c r="AX28" s="9">
        <v>1500</v>
      </c>
      <c r="AY28" s="9">
        <v>5000</v>
      </c>
      <c r="AZ28" s="9">
        <v>1000</v>
      </c>
      <c r="BA28" s="11"/>
      <c r="BB28" s="68">
        <v>40000</v>
      </c>
      <c r="BC28" s="68">
        <v>4200</v>
      </c>
      <c r="BD28" s="10"/>
      <c r="BE28" s="68">
        <v>6500</v>
      </c>
      <c r="BF28" s="68">
        <v>4000</v>
      </c>
      <c r="BG28" s="68">
        <v>6500</v>
      </c>
      <c r="BH28" s="21"/>
      <c r="BI28" s="20"/>
      <c r="BJ28" s="10"/>
      <c r="BK28" s="11"/>
      <c r="BL28" s="24"/>
      <c r="BM28" s="72">
        <v>10600</v>
      </c>
      <c r="BO28" s="9">
        <v>2800</v>
      </c>
      <c r="BP28" s="9">
        <v>16500</v>
      </c>
      <c r="BQ28" s="9">
        <v>11000</v>
      </c>
      <c r="BR28" s="9">
        <v>4000</v>
      </c>
      <c r="BS28" s="9">
        <v>3000</v>
      </c>
      <c r="BT28" s="9">
        <v>5500</v>
      </c>
      <c r="BU28" s="9">
        <v>5000</v>
      </c>
      <c r="BV28" s="9"/>
      <c r="BW28" s="11"/>
      <c r="BX28" s="68">
        <v>12000</v>
      </c>
      <c r="BY28" s="68">
        <v>5000</v>
      </c>
      <c r="BZ28" s="10"/>
      <c r="CA28" s="68">
        <v>15000</v>
      </c>
      <c r="CB28" s="68">
        <v>25000</v>
      </c>
      <c r="CC28" s="68">
        <v>18500</v>
      </c>
      <c r="CD28" s="21"/>
      <c r="CE28" s="20"/>
      <c r="CF28" s="10"/>
      <c r="CG28" s="11"/>
      <c r="CH28" s="24"/>
      <c r="CI28" s="72">
        <v>10600</v>
      </c>
      <c r="CJ28" s="24"/>
      <c r="CK28" s="9">
        <v>1000</v>
      </c>
      <c r="CL28" s="9">
        <v>4000</v>
      </c>
      <c r="CM28" s="9">
        <v>800</v>
      </c>
      <c r="CN28" s="9">
        <v>8200</v>
      </c>
      <c r="CO28" s="9">
        <v>4500</v>
      </c>
      <c r="CP28" s="9">
        <v>5000</v>
      </c>
      <c r="CQ28" s="9">
        <v>5000</v>
      </c>
      <c r="CR28" s="9"/>
      <c r="CS28" s="11"/>
      <c r="CT28" s="68">
        <v>7700</v>
      </c>
      <c r="CU28" s="68">
        <v>4100</v>
      </c>
      <c r="CV28" s="10"/>
      <c r="CW28" s="10"/>
      <c r="CX28" s="68">
        <v>16000</v>
      </c>
      <c r="CY28" s="68">
        <v>3000</v>
      </c>
      <c r="CZ28" s="68">
        <v>33000</v>
      </c>
      <c r="DA28" s="21"/>
      <c r="DB28" s="20"/>
      <c r="DC28" s="10"/>
      <c r="DD28" s="11"/>
      <c r="DE28" s="24"/>
      <c r="DF28" s="72">
        <v>53700</v>
      </c>
    </row>
    <row r="29" spans="1:110">
      <c r="A29" s="9">
        <v>15000</v>
      </c>
      <c r="B29" s="9">
        <v>2000</v>
      </c>
      <c r="C29" s="9">
        <v>4000</v>
      </c>
      <c r="D29" s="9">
        <v>10000</v>
      </c>
      <c r="E29" s="9">
        <v>9000</v>
      </c>
      <c r="F29" s="9"/>
      <c r="G29" s="9"/>
      <c r="H29" s="9"/>
      <c r="I29" s="11"/>
      <c r="J29" s="68">
        <v>20800</v>
      </c>
      <c r="K29" s="68">
        <v>12500</v>
      </c>
      <c r="L29" s="10"/>
      <c r="M29" s="10"/>
      <c r="N29" s="10">
        <v>80000</v>
      </c>
      <c r="O29" s="10">
        <v>4000</v>
      </c>
      <c r="P29" s="21"/>
      <c r="Q29" s="20"/>
      <c r="R29" s="10"/>
      <c r="S29" s="11"/>
      <c r="T29" s="24"/>
      <c r="U29" s="72"/>
      <c r="V29" s="24"/>
      <c r="W29" s="9">
        <v>2500</v>
      </c>
      <c r="X29" s="9">
        <v>1000</v>
      </c>
      <c r="Y29" s="9">
        <v>2000</v>
      </c>
      <c r="Z29" s="9">
        <v>1200</v>
      </c>
      <c r="AA29" s="9">
        <v>36000</v>
      </c>
      <c r="AB29" s="9">
        <v>4500</v>
      </c>
      <c r="AC29" s="9">
        <v>2500</v>
      </c>
      <c r="AD29" s="9">
        <v>5500</v>
      </c>
      <c r="AE29" s="11"/>
      <c r="AF29" s="68">
        <v>15000</v>
      </c>
      <c r="AG29" s="68">
        <v>4500</v>
      </c>
      <c r="AH29" s="10"/>
      <c r="AI29" s="68">
        <v>9000</v>
      </c>
      <c r="AJ29" s="68">
        <v>4500</v>
      </c>
      <c r="AK29" s="68">
        <v>3500</v>
      </c>
      <c r="AL29" s="21"/>
      <c r="AM29" s="20"/>
      <c r="AN29" s="10"/>
      <c r="AO29" s="11"/>
      <c r="AP29" s="24"/>
      <c r="AQ29" s="72">
        <v>12000</v>
      </c>
      <c r="AS29" s="9">
        <v>14000</v>
      </c>
      <c r="AT29" s="9">
        <v>1500</v>
      </c>
      <c r="AU29" s="9">
        <v>3500</v>
      </c>
      <c r="AV29" s="9">
        <v>2000</v>
      </c>
      <c r="AW29" s="9">
        <v>6500</v>
      </c>
      <c r="AX29" s="9">
        <v>8000</v>
      </c>
      <c r="AY29" s="9">
        <v>38000</v>
      </c>
      <c r="AZ29" s="9">
        <v>5000</v>
      </c>
      <c r="BA29" s="11"/>
      <c r="BB29" s="68">
        <v>13930</v>
      </c>
      <c r="BC29" s="68">
        <v>4420</v>
      </c>
      <c r="BD29" s="10"/>
      <c r="BE29" s="68">
        <v>101500</v>
      </c>
      <c r="BF29" s="68">
        <v>3000</v>
      </c>
      <c r="BG29" s="68">
        <v>29000</v>
      </c>
      <c r="BH29" s="21"/>
      <c r="BI29" s="20"/>
      <c r="BJ29" s="10"/>
      <c r="BK29" s="11"/>
      <c r="BL29" s="24"/>
      <c r="BM29" s="72">
        <v>12000</v>
      </c>
      <c r="BO29" s="9">
        <v>5800</v>
      </c>
      <c r="BP29" s="9">
        <v>2500</v>
      </c>
      <c r="BQ29" s="9">
        <v>24500</v>
      </c>
      <c r="BR29" s="9">
        <v>7000</v>
      </c>
      <c r="BS29" s="9">
        <v>3000</v>
      </c>
      <c r="BT29" s="9">
        <v>10500</v>
      </c>
      <c r="BU29" s="9">
        <v>2500</v>
      </c>
      <c r="BV29" s="9"/>
      <c r="BW29" s="11"/>
      <c r="BX29" s="68">
        <v>3500</v>
      </c>
      <c r="BY29" s="68">
        <v>38910</v>
      </c>
      <c r="BZ29" s="10"/>
      <c r="CA29" s="68">
        <v>4500</v>
      </c>
      <c r="CB29" s="68">
        <v>5000</v>
      </c>
      <c r="CC29" s="68">
        <v>20000</v>
      </c>
      <c r="CD29" s="21"/>
      <c r="CE29" s="20"/>
      <c r="CF29" s="10"/>
      <c r="CG29" s="11"/>
      <c r="CH29" s="24"/>
      <c r="CI29" s="72">
        <v>12000</v>
      </c>
      <c r="CJ29" s="24"/>
      <c r="CK29" s="9">
        <v>8000</v>
      </c>
      <c r="CL29" s="9">
        <v>1500</v>
      </c>
      <c r="CM29" s="9">
        <v>2000</v>
      </c>
      <c r="CN29" s="9">
        <v>2000</v>
      </c>
      <c r="CO29" s="9">
        <v>2000</v>
      </c>
      <c r="CP29" s="9">
        <v>2000</v>
      </c>
      <c r="CQ29" s="9">
        <v>4000</v>
      </c>
      <c r="CR29" s="9"/>
      <c r="CS29" s="11"/>
      <c r="CT29" s="68">
        <v>6000</v>
      </c>
      <c r="CU29" s="68">
        <v>17300</v>
      </c>
      <c r="CV29" s="10"/>
      <c r="CW29" s="10"/>
      <c r="CX29" s="68">
        <v>6500</v>
      </c>
      <c r="CY29" s="68">
        <v>22500</v>
      </c>
      <c r="CZ29" s="68">
        <v>19000</v>
      </c>
      <c r="DA29" s="21"/>
      <c r="DB29" s="20"/>
      <c r="DC29" s="10"/>
      <c r="DD29" s="11"/>
      <c r="DE29" s="24"/>
      <c r="DF29" s="72">
        <v>12000</v>
      </c>
    </row>
    <row r="30" spans="1:110">
      <c r="A30" s="9">
        <v>1000</v>
      </c>
      <c r="B30" s="9">
        <v>1600</v>
      </c>
      <c r="C30" s="9">
        <v>6500</v>
      </c>
      <c r="D30" s="9">
        <v>2000</v>
      </c>
      <c r="E30" s="9">
        <v>10500</v>
      </c>
      <c r="F30" s="9"/>
      <c r="G30" s="9"/>
      <c r="H30" s="9"/>
      <c r="I30" s="11"/>
      <c r="J30" s="68">
        <v>41310</v>
      </c>
      <c r="K30" s="68">
        <v>3800</v>
      </c>
      <c r="L30" s="10"/>
      <c r="M30" s="10"/>
      <c r="N30" s="10">
        <v>4000</v>
      </c>
      <c r="O30" s="10">
        <v>2100</v>
      </c>
      <c r="P30" s="21"/>
      <c r="Q30" s="20"/>
      <c r="R30" s="10"/>
      <c r="S30" s="11"/>
      <c r="T30" s="24"/>
      <c r="U30" s="72"/>
      <c r="V30" s="24"/>
      <c r="W30" s="9">
        <v>1000</v>
      </c>
      <c r="X30" s="9">
        <v>5000</v>
      </c>
      <c r="Y30" s="9">
        <v>7500</v>
      </c>
      <c r="Z30" s="9">
        <v>2500</v>
      </c>
      <c r="AA30" s="9">
        <v>1500</v>
      </c>
      <c r="AB30" s="9">
        <v>24500</v>
      </c>
      <c r="AC30" s="9">
        <v>2500</v>
      </c>
      <c r="AD30" s="9">
        <v>2500</v>
      </c>
      <c r="AE30" s="11"/>
      <c r="AF30" s="68">
        <v>6500</v>
      </c>
      <c r="AG30" s="68">
        <v>4500</v>
      </c>
      <c r="AH30" s="10"/>
      <c r="AI30" s="68">
        <v>2000</v>
      </c>
      <c r="AJ30" s="68">
        <v>14000</v>
      </c>
      <c r="AK30" s="68">
        <v>11000</v>
      </c>
      <c r="AL30" s="21"/>
      <c r="AM30" s="20" t="s">
        <v>50</v>
      </c>
      <c r="AN30" s="10">
        <v>400000</v>
      </c>
      <c r="AO30" s="11"/>
      <c r="AP30" s="24"/>
      <c r="AQ30" s="72">
        <v>600000</v>
      </c>
      <c r="AS30" s="9">
        <v>5000</v>
      </c>
      <c r="AT30" s="9">
        <v>1000</v>
      </c>
      <c r="AU30" s="9">
        <v>45000</v>
      </c>
      <c r="AV30" s="9">
        <v>2500</v>
      </c>
      <c r="AW30" s="9">
        <v>4500</v>
      </c>
      <c r="AX30" s="9">
        <v>2000</v>
      </c>
      <c r="AY30" s="9">
        <v>4000</v>
      </c>
      <c r="AZ30" s="9">
        <v>12000</v>
      </c>
      <c r="BA30" s="11"/>
      <c r="BB30" s="68">
        <v>14220</v>
      </c>
      <c r="BC30" s="68">
        <v>4500</v>
      </c>
      <c r="BD30" s="10"/>
      <c r="BE30" s="68">
        <v>11000</v>
      </c>
      <c r="BF30" s="68">
        <v>28000</v>
      </c>
      <c r="BG30" s="68">
        <v>7500</v>
      </c>
      <c r="BH30" s="21"/>
      <c r="BI30" s="20" t="s">
        <v>50</v>
      </c>
      <c r="BJ30" s="10">
        <v>400000</v>
      </c>
      <c r="BK30" s="11"/>
      <c r="BL30" s="24"/>
      <c r="BM30" s="72">
        <v>400000</v>
      </c>
      <c r="BO30" s="9">
        <v>3700</v>
      </c>
      <c r="BP30" s="9">
        <v>80000</v>
      </c>
      <c r="BQ30" s="9">
        <v>3500</v>
      </c>
      <c r="BR30" s="9">
        <v>5000</v>
      </c>
      <c r="BS30" s="9">
        <v>200</v>
      </c>
      <c r="BT30" s="9">
        <v>2000</v>
      </c>
      <c r="BU30" s="9">
        <v>5000</v>
      </c>
      <c r="BV30" s="9"/>
      <c r="BW30" s="11"/>
      <c r="BX30" s="68">
        <v>11500</v>
      </c>
      <c r="BY30" s="68">
        <v>18250</v>
      </c>
      <c r="BZ30" s="10"/>
      <c r="CA30" s="68">
        <v>9500</v>
      </c>
      <c r="CB30" s="68">
        <v>13500</v>
      </c>
      <c r="CC30" s="68">
        <v>2500</v>
      </c>
      <c r="CD30" s="21"/>
      <c r="CE30" s="20"/>
      <c r="CF30" s="10"/>
      <c r="CG30" s="11"/>
      <c r="CH30" s="24"/>
      <c r="CI30" s="72">
        <v>180000</v>
      </c>
      <c r="CJ30" s="24"/>
      <c r="CK30" s="9">
        <v>3500</v>
      </c>
      <c r="CL30" s="9">
        <v>19000</v>
      </c>
      <c r="CM30" s="9">
        <v>1000</v>
      </c>
      <c r="CN30" s="9">
        <v>8000</v>
      </c>
      <c r="CO30" s="9">
        <v>5500</v>
      </c>
      <c r="CP30" s="9">
        <v>31000</v>
      </c>
      <c r="CQ30" s="9">
        <v>30000</v>
      </c>
      <c r="CR30" s="9"/>
      <c r="CS30" s="11"/>
      <c r="CT30" s="68">
        <v>5500</v>
      </c>
      <c r="CU30" s="68">
        <v>500</v>
      </c>
      <c r="CV30" s="10"/>
      <c r="CW30" s="10"/>
      <c r="CX30" s="68">
        <v>11500</v>
      </c>
      <c r="CY30" s="68">
        <v>15500</v>
      </c>
      <c r="CZ30" s="10"/>
      <c r="DA30" s="21"/>
      <c r="DB30" s="20" t="s">
        <v>50</v>
      </c>
      <c r="DC30" s="10">
        <v>400000</v>
      </c>
      <c r="DD30" s="11"/>
      <c r="DE30" s="24"/>
      <c r="DF30" s="72">
        <v>10600</v>
      </c>
    </row>
    <row r="31" spans="1:110">
      <c r="A31" s="9">
        <v>2000</v>
      </c>
      <c r="B31" s="9">
        <v>7500</v>
      </c>
      <c r="C31" s="9">
        <v>5000</v>
      </c>
      <c r="D31" s="9">
        <v>2000</v>
      </c>
      <c r="E31" s="9">
        <v>35000</v>
      </c>
      <c r="F31" s="9"/>
      <c r="G31" s="9"/>
      <c r="H31" s="9"/>
      <c r="I31" s="11"/>
      <c r="J31" s="68">
        <v>4620</v>
      </c>
      <c r="K31" s="68">
        <v>6500</v>
      </c>
      <c r="L31" s="10"/>
      <c r="M31" s="10"/>
      <c r="N31" s="10">
        <v>5000</v>
      </c>
      <c r="O31" s="10">
        <v>2000</v>
      </c>
      <c r="P31" s="21"/>
      <c r="Q31" s="20"/>
      <c r="R31" s="10"/>
      <c r="S31" s="11"/>
      <c r="T31" s="24"/>
      <c r="U31" s="72"/>
      <c r="V31" s="24"/>
      <c r="W31" s="9">
        <v>5000</v>
      </c>
      <c r="X31" s="9">
        <v>8500</v>
      </c>
      <c r="Y31" s="9">
        <v>1500</v>
      </c>
      <c r="Z31" s="9">
        <v>45900</v>
      </c>
      <c r="AA31" s="9">
        <v>5500</v>
      </c>
      <c r="AB31" s="9">
        <v>12000</v>
      </c>
      <c r="AC31" s="9">
        <v>14000</v>
      </c>
      <c r="AD31" s="9">
        <v>1500</v>
      </c>
      <c r="AE31" s="11"/>
      <c r="AF31" s="68">
        <v>5500</v>
      </c>
      <c r="AG31" s="68">
        <v>25000</v>
      </c>
      <c r="AH31" s="10"/>
      <c r="AI31" s="68">
        <v>24000</v>
      </c>
      <c r="AJ31" s="68">
        <v>5900</v>
      </c>
      <c r="AK31" s="68">
        <v>3500</v>
      </c>
      <c r="AL31" s="21"/>
      <c r="AM31" s="20" t="s">
        <v>53</v>
      </c>
      <c r="AN31" s="10">
        <v>400000</v>
      </c>
      <c r="AO31" s="11"/>
      <c r="AP31" s="24"/>
      <c r="AQ31" s="72">
        <v>6200</v>
      </c>
      <c r="AS31" s="9">
        <v>8000</v>
      </c>
      <c r="AT31" s="9">
        <v>5000</v>
      </c>
      <c r="AU31" s="9">
        <v>3000</v>
      </c>
      <c r="AV31" s="9">
        <v>4000</v>
      </c>
      <c r="AW31" s="9">
        <v>5000</v>
      </c>
      <c r="AX31" s="9">
        <v>3500</v>
      </c>
      <c r="AY31" s="9">
        <v>10000</v>
      </c>
      <c r="AZ31" s="9">
        <v>1500</v>
      </c>
      <c r="BA31" s="11"/>
      <c r="BB31" s="68">
        <v>16260</v>
      </c>
      <c r="BC31" s="68">
        <v>15240</v>
      </c>
      <c r="BD31" s="10"/>
      <c r="BE31" s="68">
        <v>8000</v>
      </c>
      <c r="BF31" s="68">
        <v>5000</v>
      </c>
      <c r="BG31" s="68">
        <v>7500</v>
      </c>
      <c r="BH31" s="21"/>
      <c r="BI31" s="20" t="s">
        <v>53</v>
      </c>
      <c r="BJ31" s="10">
        <v>400000</v>
      </c>
      <c r="BK31" s="11"/>
      <c r="BL31" s="24"/>
      <c r="BM31" s="72">
        <v>155240</v>
      </c>
      <c r="BO31" s="9">
        <v>14000</v>
      </c>
      <c r="BP31" s="9">
        <v>3500</v>
      </c>
      <c r="BQ31" s="9">
        <v>500</v>
      </c>
      <c r="BR31" s="9">
        <v>4000</v>
      </c>
      <c r="BS31" s="9">
        <v>1000</v>
      </c>
      <c r="BT31" s="9">
        <v>4000</v>
      </c>
      <c r="BU31" s="9">
        <v>25500</v>
      </c>
      <c r="BV31" s="9"/>
      <c r="BW31" s="11"/>
      <c r="BX31" s="68">
        <v>30740</v>
      </c>
      <c r="BY31" s="68">
        <v>7690</v>
      </c>
      <c r="BZ31" s="10"/>
      <c r="CA31" s="68">
        <v>7000</v>
      </c>
      <c r="CB31" s="68">
        <v>3000</v>
      </c>
      <c r="CC31" s="68">
        <v>112500</v>
      </c>
      <c r="CD31" s="21"/>
      <c r="CE31" s="20"/>
      <c r="CF31" s="10"/>
      <c r="CG31" s="11"/>
      <c r="CH31" s="24"/>
      <c r="CI31" s="72">
        <v>227560</v>
      </c>
      <c r="CJ31" s="24"/>
      <c r="CK31" s="9">
        <v>2000</v>
      </c>
      <c r="CL31" s="9">
        <v>1500</v>
      </c>
      <c r="CM31" s="9">
        <v>4000</v>
      </c>
      <c r="CN31" s="9">
        <v>18000</v>
      </c>
      <c r="CO31" s="9">
        <v>18500</v>
      </c>
      <c r="CP31" s="9">
        <v>3900</v>
      </c>
      <c r="CQ31" s="9">
        <v>12000</v>
      </c>
      <c r="CR31" s="9"/>
      <c r="CS31" s="11"/>
      <c r="CT31" s="68">
        <v>172770</v>
      </c>
      <c r="CU31" s="68">
        <v>22380</v>
      </c>
      <c r="CV31" s="10"/>
      <c r="CW31" s="10"/>
      <c r="CX31" s="68">
        <v>49000</v>
      </c>
      <c r="CY31" s="68">
        <v>37400</v>
      </c>
      <c r="CZ31" s="10"/>
      <c r="DA31" s="21"/>
      <c r="DB31" s="20" t="s">
        <v>53</v>
      </c>
      <c r="DC31" s="10">
        <v>400000</v>
      </c>
      <c r="DD31" s="11"/>
      <c r="DE31" s="24"/>
      <c r="DF31" s="72">
        <v>150000</v>
      </c>
    </row>
    <row r="32" spans="1:110">
      <c r="A32" s="9">
        <v>32000</v>
      </c>
      <c r="B32" s="9">
        <v>10000</v>
      </c>
      <c r="C32" s="9">
        <v>500</v>
      </c>
      <c r="D32" s="9">
        <v>2500</v>
      </c>
      <c r="E32" s="9">
        <v>47000</v>
      </c>
      <c r="F32" s="9"/>
      <c r="G32" s="9"/>
      <c r="H32" s="9"/>
      <c r="I32" s="11"/>
      <c r="J32" s="68">
        <v>18250</v>
      </c>
      <c r="K32" s="68">
        <v>500</v>
      </c>
      <c r="L32" s="10"/>
      <c r="M32" s="10"/>
      <c r="N32" s="10">
        <v>5000</v>
      </c>
      <c r="O32" s="10">
        <v>3000</v>
      </c>
      <c r="P32" s="21"/>
      <c r="Q32" s="20" t="s">
        <v>50</v>
      </c>
      <c r="R32" s="10">
        <v>400000</v>
      </c>
      <c r="S32" s="11"/>
      <c r="T32" s="24"/>
      <c r="U32" s="72"/>
      <c r="V32" s="24"/>
      <c r="W32" s="9">
        <v>1000</v>
      </c>
      <c r="X32" s="9">
        <v>3500</v>
      </c>
      <c r="Y32" s="9">
        <v>2500</v>
      </c>
      <c r="Z32" s="9">
        <v>1500</v>
      </c>
      <c r="AA32" s="9">
        <v>13000</v>
      </c>
      <c r="AB32" s="9">
        <v>3000</v>
      </c>
      <c r="AC32" s="9">
        <v>21200</v>
      </c>
      <c r="AD32" s="9">
        <v>5000</v>
      </c>
      <c r="AE32" s="11"/>
      <c r="AF32" s="68">
        <v>46000</v>
      </c>
      <c r="AG32" s="68">
        <v>1600</v>
      </c>
      <c r="AH32" s="10"/>
      <c r="AI32" s="68">
        <v>8000</v>
      </c>
      <c r="AJ32" s="68">
        <v>7500</v>
      </c>
      <c r="AK32" s="68">
        <v>6000</v>
      </c>
      <c r="AL32" s="21"/>
      <c r="AM32" s="20"/>
      <c r="AN32" s="10"/>
      <c r="AO32" s="11"/>
      <c r="AP32" s="24"/>
      <c r="AQ32" s="72">
        <v>12000</v>
      </c>
      <c r="AS32" s="9">
        <v>15000</v>
      </c>
      <c r="AT32" s="9">
        <v>18000</v>
      </c>
      <c r="AU32" s="9">
        <v>4000</v>
      </c>
      <c r="AV32" s="9">
        <v>25000</v>
      </c>
      <c r="AW32" s="9">
        <v>8000</v>
      </c>
      <c r="AX32" s="9">
        <v>10000</v>
      </c>
      <c r="AY32" s="9">
        <v>7000</v>
      </c>
      <c r="AZ32" s="9">
        <v>300</v>
      </c>
      <c r="BA32" s="11"/>
      <c r="BB32" s="68">
        <v>40000</v>
      </c>
      <c r="BC32" s="68">
        <v>60470</v>
      </c>
      <c r="BD32" s="10"/>
      <c r="BE32" s="68">
        <v>29000</v>
      </c>
      <c r="BF32" s="68">
        <v>7600</v>
      </c>
      <c r="BG32" s="68">
        <v>14000</v>
      </c>
      <c r="BH32" s="21"/>
      <c r="BI32" s="20"/>
      <c r="BJ32" s="10"/>
      <c r="BK32" s="11"/>
      <c r="BL32" s="24"/>
      <c r="BM32" s="72">
        <v>10000</v>
      </c>
      <c r="BO32" s="9">
        <v>1500</v>
      </c>
      <c r="BP32" s="9">
        <v>2000</v>
      </c>
      <c r="BQ32" s="9">
        <v>2500</v>
      </c>
      <c r="BR32" s="9">
        <v>4000</v>
      </c>
      <c r="BS32" s="9">
        <v>2400</v>
      </c>
      <c r="BT32" s="9">
        <v>3000</v>
      </c>
      <c r="BU32" s="9">
        <v>11000</v>
      </c>
      <c r="BV32" s="9"/>
      <c r="BW32" s="11"/>
      <c r="BX32" s="68">
        <v>108400</v>
      </c>
      <c r="BY32" s="68">
        <v>8500</v>
      </c>
      <c r="BZ32" s="10"/>
      <c r="CA32" s="10"/>
      <c r="CB32" s="68">
        <v>2500</v>
      </c>
      <c r="CC32" s="68">
        <v>8000</v>
      </c>
      <c r="CD32" s="21"/>
      <c r="CE32" s="20" t="s">
        <v>50</v>
      </c>
      <c r="CF32" s="10">
        <v>400000</v>
      </c>
      <c r="CG32" s="11"/>
      <c r="CH32" s="24"/>
      <c r="CI32" s="72">
        <v>10000</v>
      </c>
      <c r="CJ32" s="24"/>
      <c r="CK32" s="9">
        <v>1000</v>
      </c>
      <c r="CL32" s="9">
        <v>2000</v>
      </c>
      <c r="CM32" s="9">
        <v>1500</v>
      </c>
      <c r="CN32" s="9">
        <v>13000</v>
      </c>
      <c r="CO32" s="9">
        <v>2400</v>
      </c>
      <c r="CP32" s="9">
        <v>6000</v>
      </c>
      <c r="CQ32" s="9"/>
      <c r="CR32" s="9"/>
      <c r="CS32" s="11"/>
      <c r="CT32" s="68">
        <v>5770</v>
      </c>
      <c r="CU32" s="68">
        <v>3840</v>
      </c>
      <c r="CV32" s="10"/>
      <c r="CW32" s="10"/>
      <c r="CX32" s="68">
        <v>7000</v>
      </c>
      <c r="CY32" s="68">
        <v>4000</v>
      </c>
      <c r="CZ32" s="10"/>
      <c r="DA32" s="21"/>
      <c r="DB32" s="20"/>
      <c r="DC32" s="10"/>
      <c r="DD32" s="11"/>
      <c r="DE32" s="24"/>
      <c r="DF32" s="72">
        <v>15000</v>
      </c>
    </row>
    <row r="33" spans="1:110">
      <c r="A33" s="9">
        <v>4500</v>
      </c>
      <c r="B33" s="9">
        <v>7500</v>
      </c>
      <c r="C33" s="9">
        <v>300</v>
      </c>
      <c r="D33" s="9">
        <v>8000</v>
      </c>
      <c r="E33" s="9">
        <v>22000</v>
      </c>
      <c r="F33" s="9"/>
      <c r="G33" s="9"/>
      <c r="H33" s="9"/>
      <c r="I33" s="11"/>
      <c r="J33" s="68">
        <v>5770</v>
      </c>
      <c r="K33" s="68">
        <v>7000</v>
      </c>
      <c r="L33" s="10"/>
      <c r="M33" s="10"/>
      <c r="N33" s="10">
        <v>20000</v>
      </c>
      <c r="O33" s="10">
        <v>7300</v>
      </c>
      <c r="P33" s="21"/>
      <c r="Q33" s="20" t="s">
        <v>53</v>
      </c>
      <c r="R33" s="10">
        <v>400000</v>
      </c>
      <c r="S33" s="11"/>
      <c r="T33" s="24"/>
      <c r="U33" s="72"/>
      <c r="V33" s="24"/>
      <c r="W33" s="9">
        <v>20000</v>
      </c>
      <c r="X33" s="9">
        <v>13000</v>
      </c>
      <c r="Y33" s="9">
        <v>6000</v>
      </c>
      <c r="Z33" s="9">
        <v>3500</v>
      </c>
      <c r="AA33" s="9">
        <v>3500</v>
      </c>
      <c r="AB33" s="9">
        <v>41500</v>
      </c>
      <c r="AC33" s="9">
        <v>1000</v>
      </c>
      <c r="AD33" s="9">
        <v>5200</v>
      </c>
      <c r="AE33" s="11"/>
      <c r="AF33" s="68">
        <v>8000</v>
      </c>
      <c r="AG33" s="68">
        <v>13500</v>
      </c>
      <c r="AH33" s="10"/>
      <c r="AI33" s="68">
        <v>15000</v>
      </c>
      <c r="AJ33" s="68">
        <v>5000</v>
      </c>
      <c r="AK33" s="68">
        <v>13000</v>
      </c>
      <c r="AL33" s="21"/>
      <c r="AM33" s="20"/>
      <c r="AN33" s="10"/>
      <c r="AO33" s="11"/>
      <c r="AP33" s="24"/>
      <c r="AQ33" s="72">
        <v>13000</v>
      </c>
      <c r="AS33" s="9">
        <v>5000</v>
      </c>
      <c r="AT33" s="9">
        <v>8000</v>
      </c>
      <c r="AU33" s="9">
        <v>7000</v>
      </c>
      <c r="AV33" s="9">
        <v>1500</v>
      </c>
      <c r="AW33" s="9">
        <v>3500</v>
      </c>
      <c r="AX33" s="9">
        <v>5500</v>
      </c>
      <c r="AY33" s="9">
        <v>2100</v>
      </c>
      <c r="AZ33" s="9"/>
      <c r="BA33" s="11"/>
      <c r="BB33" s="68">
        <v>3500</v>
      </c>
      <c r="BC33" s="68">
        <v>23370</v>
      </c>
      <c r="BD33" s="10"/>
      <c r="BE33" s="68">
        <v>5000</v>
      </c>
      <c r="BF33" s="68">
        <v>15000</v>
      </c>
      <c r="BG33" s="10"/>
      <c r="BH33" s="21"/>
      <c r="BI33" s="20"/>
      <c r="BJ33" s="10"/>
      <c r="BK33" s="11"/>
      <c r="BL33" s="24"/>
      <c r="BM33" s="72">
        <v>10600</v>
      </c>
      <c r="BO33" s="9">
        <v>5000</v>
      </c>
      <c r="BP33" s="9">
        <v>2500</v>
      </c>
      <c r="BQ33" s="9">
        <v>5000</v>
      </c>
      <c r="BR33" s="9">
        <v>5500</v>
      </c>
      <c r="BS33" s="9">
        <v>2500</v>
      </c>
      <c r="BT33" s="9">
        <v>5000</v>
      </c>
      <c r="BU33" s="9">
        <v>2500</v>
      </c>
      <c r="BV33" s="9"/>
      <c r="BW33" s="11"/>
      <c r="BX33" s="68">
        <v>4320</v>
      </c>
      <c r="BY33" s="68">
        <v>7690</v>
      </c>
      <c r="BZ33" s="10"/>
      <c r="CA33" s="10"/>
      <c r="CB33" s="68">
        <v>2000</v>
      </c>
      <c r="CC33" s="68">
        <v>1700</v>
      </c>
      <c r="CD33" s="21"/>
      <c r="CE33" s="20" t="s">
        <v>53</v>
      </c>
      <c r="CF33" s="10">
        <v>400000</v>
      </c>
      <c r="CG33" s="11"/>
      <c r="CH33" s="24"/>
      <c r="CI33" s="72">
        <v>10000</v>
      </c>
      <c r="CJ33" s="24"/>
      <c r="CK33" s="9">
        <v>1000</v>
      </c>
      <c r="CL33" s="9">
        <v>5500</v>
      </c>
      <c r="CM33" s="9">
        <v>2000</v>
      </c>
      <c r="CN33" s="9">
        <v>5000</v>
      </c>
      <c r="CO33" s="9">
        <v>1000</v>
      </c>
      <c r="CP33" s="9">
        <v>2000</v>
      </c>
      <c r="CQ33" s="9"/>
      <c r="CR33" s="9"/>
      <c r="CS33" s="11"/>
      <c r="CT33" s="68">
        <v>9000</v>
      </c>
      <c r="CU33" s="68">
        <v>40000</v>
      </c>
      <c r="CV33" s="10"/>
      <c r="CW33" s="10"/>
      <c r="CX33" s="68">
        <v>8000</v>
      </c>
      <c r="CY33" s="68">
        <v>15000</v>
      </c>
      <c r="CZ33" s="10"/>
      <c r="DA33" s="21"/>
      <c r="DB33" s="20"/>
      <c r="DC33" s="10"/>
      <c r="DD33" s="11"/>
      <c r="DE33" s="24"/>
      <c r="DF33" s="72">
        <v>15000</v>
      </c>
    </row>
    <row r="34" spans="1:110">
      <c r="A34" s="9">
        <v>500</v>
      </c>
      <c r="B34" s="9">
        <v>800</v>
      </c>
      <c r="C34" s="9">
        <v>10500</v>
      </c>
      <c r="D34" s="9">
        <v>5500</v>
      </c>
      <c r="E34" s="9">
        <v>2000</v>
      </c>
      <c r="F34" s="9"/>
      <c r="G34" s="9"/>
      <c r="H34" s="9"/>
      <c r="I34" s="11"/>
      <c r="J34" s="68">
        <v>8970</v>
      </c>
      <c r="K34" s="68">
        <v>6240</v>
      </c>
      <c r="L34" s="10"/>
      <c r="M34" s="10"/>
      <c r="N34" s="10">
        <v>25500</v>
      </c>
      <c r="O34" s="10">
        <v>9000</v>
      </c>
      <c r="P34" s="21"/>
      <c r="Q34" s="20"/>
      <c r="R34" s="10"/>
      <c r="S34" s="11"/>
      <c r="T34" s="24"/>
      <c r="U34" s="72"/>
      <c r="V34" s="24"/>
      <c r="W34" s="9">
        <v>1600</v>
      </c>
      <c r="X34" s="9">
        <v>800</v>
      </c>
      <c r="Y34" s="9">
        <v>2000</v>
      </c>
      <c r="Z34" s="9">
        <v>2000</v>
      </c>
      <c r="AA34" s="9">
        <v>12500</v>
      </c>
      <c r="AB34" s="9">
        <v>5000</v>
      </c>
      <c r="AC34" s="9">
        <v>3000</v>
      </c>
      <c r="AD34" s="9">
        <v>7000</v>
      </c>
      <c r="AE34" s="11"/>
      <c r="AF34" s="68">
        <v>10000</v>
      </c>
      <c r="AG34" s="68">
        <v>76850</v>
      </c>
      <c r="AH34" s="10"/>
      <c r="AI34" s="68">
        <v>3000</v>
      </c>
      <c r="AJ34" s="68">
        <v>6000</v>
      </c>
      <c r="AK34" s="68">
        <v>22500</v>
      </c>
      <c r="AL34" s="21"/>
      <c r="AM34" s="20"/>
      <c r="AN34" s="10"/>
      <c r="AO34" s="11"/>
      <c r="AP34" s="24"/>
      <c r="AQ34" s="72">
        <v>12000</v>
      </c>
      <c r="AS34" s="9">
        <v>1500</v>
      </c>
      <c r="AT34" s="9">
        <v>23000</v>
      </c>
      <c r="AU34" s="9">
        <v>1400</v>
      </c>
      <c r="AV34" s="9">
        <v>20000</v>
      </c>
      <c r="AW34" s="9">
        <v>6800</v>
      </c>
      <c r="AX34" s="9">
        <v>4000</v>
      </c>
      <c r="AY34" s="9">
        <v>10000</v>
      </c>
      <c r="AZ34" s="9"/>
      <c r="BA34" s="11"/>
      <c r="BB34" s="68">
        <v>4800</v>
      </c>
      <c r="BC34" s="68">
        <v>9000</v>
      </c>
      <c r="BD34" s="10"/>
      <c r="BE34" s="68">
        <v>2500</v>
      </c>
      <c r="BF34" s="68">
        <v>7000</v>
      </c>
      <c r="BG34" s="10"/>
      <c r="BH34" s="21"/>
      <c r="BI34" s="20"/>
      <c r="BJ34" s="10"/>
      <c r="BK34" s="11"/>
      <c r="BL34" s="24"/>
      <c r="BM34" s="72">
        <v>12000</v>
      </c>
      <c r="BO34" s="9">
        <v>7000</v>
      </c>
      <c r="BP34" s="9">
        <v>32000</v>
      </c>
      <c r="BQ34" s="9">
        <v>3200</v>
      </c>
      <c r="BR34" s="9">
        <v>2300</v>
      </c>
      <c r="BS34" s="9">
        <v>1600</v>
      </c>
      <c r="BT34" s="9">
        <v>4000</v>
      </c>
      <c r="BU34" s="9">
        <v>8000</v>
      </c>
      <c r="BV34" s="9"/>
      <c r="BW34" s="11"/>
      <c r="BX34" s="68">
        <v>34500</v>
      </c>
      <c r="BY34" s="68">
        <v>12970</v>
      </c>
      <c r="BZ34" s="10"/>
      <c r="CA34" s="10"/>
      <c r="CB34" s="68">
        <v>8500</v>
      </c>
      <c r="CC34" s="68">
        <v>25000</v>
      </c>
      <c r="CD34" s="21"/>
      <c r="CE34" s="20"/>
      <c r="CF34" s="10"/>
      <c r="CG34" s="11"/>
      <c r="CH34" s="24"/>
      <c r="CI34" s="72">
        <v>12000</v>
      </c>
      <c r="CJ34" s="24"/>
      <c r="CK34" s="9">
        <v>3500</v>
      </c>
      <c r="CL34" s="9">
        <v>2000</v>
      </c>
      <c r="CM34" s="9">
        <v>3000</v>
      </c>
      <c r="CN34" s="9">
        <v>1500</v>
      </c>
      <c r="CO34" s="9">
        <v>7500</v>
      </c>
      <c r="CP34" s="9">
        <v>4000</v>
      </c>
      <c r="CQ34" s="9"/>
      <c r="CR34" s="9"/>
      <c r="CS34" s="11"/>
      <c r="CT34" s="68">
        <v>5590</v>
      </c>
      <c r="CU34" s="68">
        <v>70000</v>
      </c>
      <c r="CV34" s="10"/>
      <c r="CW34" s="10"/>
      <c r="CX34" s="68">
        <v>11000</v>
      </c>
      <c r="CY34" s="68">
        <v>10000</v>
      </c>
      <c r="CZ34" s="10"/>
      <c r="DA34" s="21"/>
      <c r="DB34" s="20"/>
      <c r="DC34" s="10"/>
      <c r="DD34" s="11"/>
      <c r="DE34" s="24"/>
      <c r="DF34" s="72"/>
    </row>
    <row r="35" spans="1:110">
      <c r="A35" s="9">
        <v>1500</v>
      </c>
      <c r="B35" s="9">
        <v>8000</v>
      </c>
      <c r="C35" s="9">
        <v>500</v>
      </c>
      <c r="D35" s="9">
        <v>17000</v>
      </c>
      <c r="E35" s="9">
        <v>10000</v>
      </c>
      <c r="F35" s="9"/>
      <c r="G35" s="9"/>
      <c r="H35" s="9"/>
      <c r="I35" s="11"/>
      <c r="J35" s="68">
        <v>10280</v>
      </c>
      <c r="K35" s="68">
        <v>30500</v>
      </c>
      <c r="L35" s="10"/>
      <c r="M35" s="10"/>
      <c r="N35" s="10">
        <v>7000</v>
      </c>
      <c r="O35" s="10">
        <v>2000</v>
      </c>
      <c r="P35" s="21"/>
      <c r="Q35" s="20"/>
      <c r="R35" s="10"/>
      <c r="S35" s="11"/>
      <c r="T35" s="24"/>
      <c r="U35" s="72"/>
      <c r="V35" s="24"/>
      <c r="W35" s="9">
        <v>2500</v>
      </c>
      <c r="X35" s="9">
        <v>4500</v>
      </c>
      <c r="Y35" s="9">
        <v>29000</v>
      </c>
      <c r="Z35" s="9">
        <v>1000</v>
      </c>
      <c r="AA35" s="9">
        <v>1000</v>
      </c>
      <c r="AB35" s="9">
        <v>11000</v>
      </c>
      <c r="AC35" s="9">
        <v>10600</v>
      </c>
      <c r="AD35" s="9">
        <v>5000</v>
      </c>
      <c r="AE35" s="11"/>
      <c r="AF35" s="68">
        <v>6500</v>
      </c>
      <c r="AG35" s="68">
        <v>16330</v>
      </c>
      <c r="AH35" s="10"/>
      <c r="AI35" s="68">
        <v>5500</v>
      </c>
      <c r="AJ35" s="68">
        <v>7000</v>
      </c>
      <c r="AK35" s="68">
        <v>39500</v>
      </c>
      <c r="AL35" s="21"/>
      <c r="AM35" s="20"/>
      <c r="AN35" s="10"/>
      <c r="AO35" s="11"/>
      <c r="AP35" s="24"/>
      <c r="AQ35" s="72">
        <v>10000</v>
      </c>
      <c r="AS35" s="9">
        <v>47500</v>
      </c>
      <c r="AT35" s="9">
        <v>4900</v>
      </c>
      <c r="AU35" s="9">
        <v>3200</v>
      </c>
      <c r="AV35" s="9">
        <v>4000</v>
      </c>
      <c r="AW35" s="9">
        <v>2500</v>
      </c>
      <c r="AX35" s="9">
        <v>6000</v>
      </c>
      <c r="AY35" s="9">
        <v>2100</v>
      </c>
      <c r="AZ35" s="9"/>
      <c r="BA35" s="11"/>
      <c r="BB35" s="68">
        <v>5380</v>
      </c>
      <c r="BC35" s="68">
        <v>3500</v>
      </c>
      <c r="BD35" s="10"/>
      <c r="BE35" s="68">
        <v>6500</v>
      </c>
      <c r="BF35" s="68">
        <v>8000</v>
      </c>
      <c r="BG35" s="10"/>
      <c r="BH35" s="21"/>
      <c r="BI35" s="20"/>
      <c r="BJ35" s="10"/>
      <c r="BK35" s="11"/>
      <c r="BL35" s="24"/>
      <c r="BM35" s="72"/>
      <c r="BO35" s="9">
        <v>4000</v>
      </c>
      <c r="BP35" s="9">
        <v>5000</v>
      </c>
      <c r="BQ35" s="9">
        <v>14000</v>
      </c>
      <c r="BR35" s="9">
        <v>27800</v>
      </c>
      <c r="BS35" s="9">
        <v>2000</v>
      </c>
      <c r="BT35" s="9">
        <v>500</v>
      </c>
      <c r="BU35" s="9">
        <v>2000</v>
      </c>
      <c r="BV35" s="9"/>
      <c r="BW35" s="11"/>
      <c r="BX35" s="68">
        <v>2000</v>
      </c>
      <c r="BY35" s="68">
        <v>1920</v>
      </c>
      <c r="BZ35" s="10"/>
      <c r="CA35" s="10"/>
      <c r="CB35" s="68">
        <v>5500</v>
      </c>
      <c r="CC35" s="68">
        <v>2500</v>
      </c>
      <c r="CD35" s="21"/>
      <c r="CE35" s="20"/>
      <c r="CF35" s="10"/>
      <c r="CG35" s="11"/>
      <c r="CH35" s="24"/>
      <c r="CI35" s="72">
        <v>12000</v>
      </c>
      <c r="CJ35" s="24"/>
      <c r="CK35" s="9">
        <v>5000</v>
      </c>
      <c r="CL35" s="9">
        <v>10000</v>
      </c>
      <c r="CM35" s="9">
        <v>1600</v>
      </c>
      <c r="CN35" s="9">
        <v>5500</v>
      </c>
      <c r="CO35" s="9">
        <v>3000</v>
      </c>
      <c r="CP35" s="9">
        <v>5500</v>
      </c>
      <c r="CQ35" s="9"/>
      <c r="CR35" s="9"/>
      <c r="CS35" s="11"/>
      <c r="CT35" s="68">
        <v>3360</v>
      </c>
      <c r="CU35" s="68">
        <v>93905</v>
      </c>
      <c r="CV35" s="10"/>
      <c r="CW35" s="10"/>
      <c r="CX35" s="68">
        <v>7000</v>
      </c>
      <c r="CY35" s="68">
        <v>12000</v>
      </c>
      <c r="CZ35" s="10"/>
      <c r="DA35" s="21"/>
      <c r="DB35" s="20"/>
      <c r="DC35" s="10"/>
      <c r="DD35" s="11"/>
      <c r="DE35" s="24"/>
      <c r="DF35" s="72"/>
    </row>
    <row r="36" spans="15:80">
      <c r="O36" s="4"/>
      <c r="BC36" s="35"/>
      <c r="BD36" s="35"/>
      <c r="BE36" s="35"/>
      <c r="BF36" s="36"/>
      <c r="BG36" s="35"/>
      <c r="BH36" s="35"/>
      <c r="BI36" s="35"/>
      <c r="CB36" s="4"/>
    </row>
  </sheetData>
  <mergeCells count="61">
    <mergeCell ref="J1:O1"/>
    <mergeCell ref="Q1:R1"/>
    <mergeCell ref="AF1:AK1"/>
    <mergeCell ref="AM1:AN1"/>
    <mergeCell ref="BB1:BG1"/>
    <mergeCell ref="BI1:BJ1"/>
    <mergeCell ref="BX1:CC1"/>
    <mergeCell ref="CE1:CF1"/>
    <mergeCell ref="CT1:CZ1"/>
    <mergeCell ref="DB1:DC1"/>
    <mergeCell ref="T1:T2"/>
    <mergeCell ref="T3:T4"/>
    <mergeCell ref="T5:T6"/>
    <mergeCell ref="T7:T8"/>
    <mergeCell ref="U1:U2"/>
    <mergeCell ref="U3:U4"/>
    <mergeCell ref="U5:U6"/>
    <mergeCell ref="U7:U8"/>
    <mergeCell ref="AP1:AP2"/>
    <mergeCell ref="AP3:AP4"/>
    <mergeCell ref="AP5:AP6"/>
    <mergeCell ref="AP7:AP8"/>
    <mergeCell ref="AQ1:AQ2"/>
    <mergeCell ref="AQ3:AQ4"/>
    <mergeCell ref="AQ5:AQ6"/>
    <mergeCell ref="AQ7:AQ8"/>
    <mergeCell ref="BL1:BL2"/>
    <mergeCell ref="BL3:BL4"/>
    <mergeCell ref="BL5:BL6"/>
    <mergeCell ref="BL7:BL8"/>
    <mergeCell ref="BM1:BM2"/>
    <mergeCell ref="BM3:BM4"/>
    <mergeCell ref="BM5:BM6"/>
    <mergeCell ref="BM7:BM8"/>
    <mergeCell ref="CH1:CH2"/>
    <mergeCell ref="CH3:CH4"/>
    <mergeCell ref="CH5:CH6"/>
    <mergeCell ref="CH7:CH8"/>
    <mergeCell ref="CI1:CI2"/>
    <mergeCell ref="CI3:CI4"/>
    <mergeCell ref="CI5:CI6"/>
    <mergeCell ref="CI7:CI8"/>
    <mergeCell ref="DE1:DE2"/>
    <mergeCell ref="DE3:DE4"/>
    <mergeCell ref="DE5:DE6"/>
    <mergeCell ref="DE7:DE8"/>
    <mergeCell ref="DF1:DF2"/>
    <mergeCell ref="DF3:DF4"/>
    <mergeCell ref="DF5:DF6"/>
    <mergeCell ref="DF7:DF8"/>
    <mergeCell ref="DH1:DK2"/>
    <mergeCell ref="DH3:DI4"/>
    <mergeCell ref="DJ3:DK4"/>
    <mergeCell ref="DH5:DI6"/>
    <mergeCell ref="DJ5:DK6"/>
    <mergeCell ref="DH11:DI12"/>
    <mergeCell ref="DJ11:DK12"/>
    <mergeCell ref="DH7:DI8"/>
    <mergeCell ref="DJ7:DK8"/>
    <mergeCell ref="DH9:DI10"/>
    <mergeCell ref="DJ9:DK10"/>
  </mergeCells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M36"/>
  <sheetViews>
    <sheetView showFormulas="1" tabSelected="1" zoomScale="83" zoomScaleNormal="83" topLeftCell="DA1" workbookViewId="0">
      <selection activeCell="AX1" sqref="AX1"/>
    </sheetView>
  </sheetViews>
  <sheetFormatPr defaultColWidth="11" defaultRowHeight="14.4"/>
  <cols>
    <col min="1" max="3" width="10.8518518518519" customWidth="1"/>
    <col min="4" max="4" width="12" customWidth="1"/>
    <col min="5" max="6" width="10.8518518518519" customWidth="1"/>
    <col min="7" max="8" width="12" customWidth="1"/>
    <col min="9" max="9" width="1.71296296296296" customWidth="1"/>
    <col min="10" max="12" width="10.8518518518519" customWidth="1"/>
    <col min="13" max="13" width="12" customWidth="1"/>
    <col min="14" max="14" width="10.8518518518519" customWidth="1"/>
    <col min="15" max="15" width="12" customWidth="1"/>
    <col min="16" max="16" width="13.712962962963" customWidth="1"/>
    <col min="17" max="17" width="1.71296296296296" customWidth="1"/>
    <col min="18" max="18" width="12.1388888888889" customWidth="1"/>
    <col min="19" max="19" width="13.712962962963" customWidth="1"/>
    <col min="20" max="20" width="1.42592592592593" customWidth="1"/>
    <col min="21" max="21" width="12" customWidth="1"/>
    <col min="22" max="22" width="13.712962962963" style="67" customWidth="1"/>
    <col min="24" max="25" width="12" customWidth="1"/>
    <col min="26" max="26" width="11" customWidth="1"/>
    <col min="27" max="27" width="13" customWidth="1"/>
    <col min="28" max="31" width="13.1388888888889" customWidth="1"/>
    <col min="32" max="32" width="12.8518518518519" customWidth="1"/>
    <col min="33" max="33" width="1.71296296296296" customWidth="1"/>
    <col min="34" max="34" width="10.8518518518519" customWidth="1"/>
    <col min="35" max="39" width="12" customWidth="1"/>
    <col min="40" max="41" width="10.8518518518519" customWidth="1"/>
    <col min="42" max="42" width="12.1388888888889" customWidth="1"/>
    <col min="43" max="43" width="1.71296296296296" customWidth="1"/>
    <col min="44" max="44" width="10.287037037037" customWidth="1"/>
    <col min="45" max="45" width="12" customWidth="1"/>
    <col min="46" max="46" width="1.71296296296296" customWidth="1"/>
    <col min="47" max="47" width="12" customWidth="1"/>
    <col min="48" max="48" width="13.4259259259259" style="67" customWidth="1"/>
    <col min="50" max="50" width="12" customWidth="1"/>
    <col min="51" max="58" width="11.712962962963" customWidth="1"/>
    <col min="59" max="59" width="1.71296296296296" customWidth="1"/>
    <col min="60" max="60" width="10.8518518518519" customWidth="1"/>
    <col min="61" max="63" width="11.712962962963" customWidth="1"/>
    <col min="64" max="64" width="10.8518518518519" customWidth="1"/>
    <col min="65" max="65" width="12" customWidth="1"/>
    <col min="66" max="66" width="1.71296296296296" customWidth="1"/>
    <col min="67" max="67" width="9.71296296296296" customWidth="1"/>
    <col min="68" max="68" width="11.712962962963" customWidth="1"/>
    <col min="69" max="69" width="1.71296296296296" customWidth="1"/>
    <col min="70" max="70" width="11.712962962963" customWidth="1"/>
    <col min="71" max="71" width="13.4259259259259" style="67" customWidth="1"/>
    <col min="73" max="80" width="11.712962962963" customWidth="1"/>
    <col min="81" max="81" width="1.71296296296296" customWidth="1"/>
    <col min="82" max="87" width="11.712962962963" customWidth="1"/>
    <col min="88" max="88" width="1.71296296296296" customWidth="1"/>
    <col min="89" max="90" width="11.712962962963" customWidth="1"/>
    <col min="91" max="91" width="1.71296296296296" customWidth="1"/>
    <col min="92" max="93" width="11.712962962963" customWidth="1"/>
    <col min="95" max="101" width="11.712962962963" customWidth="1"/>
    <col min="102" max="102" width="1.71296296296296" customWidth="1"/>
    <col min="103" max="106" width="11.712962962963" customWidth="1"/>
    <col min="107" max="107" width="1.71296296296296" customWidth="1"/>
    <col min="108" max="109" width="11.712962962963" customWidth="1"/>
    <col min="110" max="110" width="1.71296296296296" customWidth="1"/>
    <col min="111" max="112" width="11.712962962963" customWidth="1"/>
    <col min="113" max="113" width="9.42592592592593" customWidth="1"/>
    <col min="114" max="114" width="8.28703703703704" customWidth="1"/>
    <col min="115" max="115" width="7.13888888888889" customWidth="1"/>
    <col min="116" max="116" width="6.85185185185185" customWidth="1"/>
    <col min="117" max="117" width="17.5740740740741" customWidth="1"/>
  </cols>
  <sheetData>
    <row r="1" ht="15" customHeight="1" spans="1:117">
      <c r="A1" s="10">
        <v>18000</v>
      </c>
      <c r="B1" s="10">
        <v>4000</v>
      </c>
      <c r="C1" s="10">
        <v>3000</v>
      </c>
      <c r="D1" s="10">
        <v>2500</v>
      </c>
      <c r="E1" s="10">
        <v>1500</v>
      </c>
      <c r="F1" s="10">
        <v>4000</v>
      </c>
      <c r="G1" s="10">
        <v>562500</v>
      </c>
      <c r="H1" s="10">
        <v>814650</v>
      </c>
      <c r="I1" s="11"/>
      <c r="J1" s="13" t="s">
        <v>0</v>
      </c>
      <c r="K1" s="14"/>
      <c r="L1" s="14"/>
      <c r="M1" s="14"/>
      <c r="N1" s="14"/>
      <c r="O1" s="14"/>
      <c r="P1" s="15"/>
      <c r="Q1" s="11"/>
      <c r="R1" s="16" t="s">
        <v>1</v>
      </c>
      <c r="S1" s="17"/>
      <c r="T1" s="11"/>
      <c r="U1" s="22" t="s">
        <v>2</v>
      </c>
      <c r="V1" s="69"/>
      <c r="W1" s="24"/>
      <c r="X1" s="10">
        <v>4500</v>
      </c>
      <c r="Y1" s="10">
        <v>3300</v>
      </c>
      <c r="Z1" s="10">
        <v>20000</v>
      </c>
      <c r="AA1" s="10">
        <v>2000</v>
      </c>
      <c r="AB1" s="10">
        <v>6500</v>
      </c>
      <c r="AC1" s="10">
        <v>1600</v>
      </c>
      <c r="AD1" s="10">
        <v>2500</v>
      </c>
      <c r="AE1" s="10">
        <v>3000</v>
      </c>
      <c r="AF1" s="10"/>
      <c r="AG1" s="11"/>
      <c r="AH1" s="13" t="s">
        <v>0</v>
      </c>
      <c r="AI1" s="14"/>
      <c r="AJ1" s="14"/>
      <c r="AK1" s="14"/>
      <c r="AL1" s="14"/>
      <c r="AM1" s="14"/>
      <c r="AN1" s="14"/>
      <c r="AO1" s="14"/>
      <c r="AP1" s="15"/>
      <c r="AQ1" s="11"/>
      <c r="AR1" s="16" t="s">
        <v>1</v>
      </c>
      <c r="AS1" s="17"/>
      <c r="AT1" s="11"/>
      <c r="AU1" s="22" t="s">
        <v>2</v>
      </c>
      <c r="AV1" s="69"/>
      <c r="AX1" s="10">
        <v>2200</v>
      </c>
      <c r="AY1" s="10">
        <v>5000</v>
      </c>
      <c r="AZ1" s="10">
        <v>8000</v>
      </c>
      <c r="BA1" s="10">
        <v>3500</v>
      </c>
      <c r="BB1" s="10">
        <v>1000</v>
      </c>
      <c r="BC1" s="10">
        <v>5000</v>
      </c>
      <c r="BD1" s="10">
        <v>2000</v>
      </c>
      <c r="BE1" s="10">
        <v>4000</v>
      </c>
      <c r="BF1" s="10"/>
      <c r="BG1" s="11"/>
      <c r="BH1" s="13" t="s">
        <v>0</v>
      </c>
      <c r="BI1" s="14"/>
      <c r="BJ1" s="14"/>
      <c r="BK1" s="14"/>
      <c r="BL1" s="14"/>
      <c r="BM1" s="15"/>
      <c r="BN1" s="11"/>
      <c r="BO1" s="16" t="s">
        <v>1</v>
      </c>
      <c r="BP1" s="17"/>
      <c r="BQ1" s="11"/>
      <c r="BR1" s="22" t="s">
        <v>2</v>
      </c>
      <c r="BS1" s="69"/>
      <c r="BU1" s="10"/>
      <c r="BV1" s="10"/>
      <c r="BW1" s="10"/>
      <c r="BX1" s="10"/>
      <c r="BY1" s="10"/>
      <c r="BZ1" s="10"/>
      <c r="CA1" s="10"/>
      <c r="CB1" s="10"/>
      <c r="CC1" s="11"/>
      <c r="CD1" s="13" t="s">
        <v>0</v>
      </c>
      <c r="CE1" s="14"/>
      <c r="CF1" s="14"/>
      <c r="CG1" s="14"/>
      <c r="CH1" s="14"/>
      <c r="CI1" s="15"/>
      <c r="CJ1" s="11"/>
      <c r="CK1" s="16" t="s">
        <v>1</v>
      </c>
      <c r="CL1" s="17"/>
      <c r="CM1" s="11"/>
      <c r="CN1" s="22" t="s">
        <v>2</v>
      </c>
      <c r="CO1" s="23"/>
      <c r="CQ1" s="10"/>
      <c r="CR1" s="10"/>
      <c r="CS1" s="10"/>
      <c r="CT1" s="10"/>
      <c r="CU1" s="10"/>
      <c r="CV1" s="10"/>
      <c r="CW1" s="10"/>
      <c r="CX1" s="11"/>
      <c r="CY1" s="13" t="s">
        <v>0</v>
      </c>
      <c r="CZ1" s="14"/>
      <c r="DA1" s="14"/>
      <c r="DB1" s="15"/>
      <c r="DC1" s="11"/>
      <c r="DD1" s="16" t="s">
        <v>1</v>
      </c>
      <c r="DE1" s="17"/>
      <c r="DF1" s="11"/>
      <c r="DG1" s="22" t="s">
        <v>2</v>
      </c>
      <c r="DH1" s="23"/>
      <c r="DJ1" s="37" t="s">
        <v>3</v>
      </c>
      <c r="DK1" s="45"/>
      <c r="DL1" s="45"/>
      <c r="DM1" s="46"/>
    </row>
    <row r="2" ht="15" customHeight="1" spans="1:117">
      <c r="A2" s="12">
        <v>5000</v>
      </c>
      <c r="B2" s="12">
        <v>2000</v>
      </c>
      <c r="C2" s="12">
        <v>5000</v>
      </c>
      <c r="D2" s="12">
        <v>63000</v>
      </c>
      <c r="E2" s="12">
        <v>6500</v>
      </c>
      <c r="F2" s="12">
        <v>1500</v>
      </c>
      <c r="G2" s="12">
        <v>11000</v>
      </c>
      <c r="H2" s="12">
        <v>2500</v>
      </c>
      <c r="I2" s="11"/>
      <c r="J2" s="68">
        <v>5500</v>
      </c>
      <c r="K2" s="68">
        <v>37090</v>
      </c>
      <c r="L2" s="68">
        <v>5000</v>
      </c>
      <c r="M2" s="68">
        <v>9600</v>
      </c>
      <c r="N2" s="68">
        <v>2000</v>
      </c>
      <c r="O2" s="68">
        <v>5000</v>
      </c>
      <c r="P2" s="68">
        <v>1795020</v>
      </c>
      <c r="Q2" s="11"/>
      <c r="R2" s="20" t="s">
        <v>31</v>
      </c>
      <c r="S2" s="10">
        <v>23000</v>
      </c>
      <c r="T2" s="11"/>
      <c r="U2" s="25"/>
      <c r="V2" s="70"/>
      <c r="W2" s="24"/>
      <c r="X2" s="12">
        <v>3000</v>
      </c>
      <c r="Y2" s="12">
        <v>2500</v>
      </c>
      <c r="Z2" s="12">
        <v>36000</v>
      </c>
      <c r="AA2" s="12">
        <v>50000</v>
      </c>
      <c r="AB2" s="12">
        <v>3500</v>
      </c>
      <c r="AC2" s="12">
        <v>1500</v>
      </c>
      <c r="AD2" s="12">
        <v>30000</v>
      </c>
      <c r="AE2" s="12">
        <v>5000</v>
      </c>
      <c r="AF2" s="12"/>
      <c r="AG2" s="11"/>
      <c r="AH2" s="68">
        <v>10000</v>
      </c>
      <c r="AI2" s="68">
        <v>5500</v>
      </c>
      <c r="AJ2" s="68">
        <v>2000</v>
      </c>
      <c r="AK2" s="68">
        <v>6100</v>
      </c>
      <c r="AL2" s="68">
        <v>4000</v>
      </c>
      <c r="AM2" s="68">
        <v>3500</v>
      </c>
      <c r="AN2" s="68">
        <v>22000</v>
      </c>
      <c r="AO2" s="68">
        <v>22500</v>
      </c>
      <c r="AP2" s="68">
        <v>1500</v>
      </c>
      <c r="AQ2" s="11"/>
      <c r="AR2" s="20" t="s">
        <v>189</v>
      </c>
      <c r="AS2" s="10">
        <v>48090</v>
      </c>
      <c r="AT2" s="11"/>
      <c r="AU2" s="25"/>
      <c r="AV2" s="70"/>
      <c r="AX2" s="12">
        <v>10000</v>
      </c>
      <c r="AY2" s="12">
        <v>9000</v>
      </c>
      <c r="AZ2" s="12">
        <v>9500</v>
      </c>
      <c r="BA2" s="12">
        <v>3000</v>
      </c>
      <c r="BB2" s="12">
        <v>2200</v>
      </c>
      <c r="BC2" s="12">
        <v>116000</v>
      </c>
      <c r="BD2" s="12">
        <v>6000</v>
      </c>
      <c r="BE2" s="12">
        <v>1000</v>
      </c>
      <c r="BF2" s="12"/>
      <c r="BG2" s="11"/>
      <c r="BH2" s="10">
        <v>20000</v>
      </c>
      <c r="BI2" s="10">
        <v>6730</v>
      </c>
      <c r="BJ2" s="10">
        <v>5500</v>
      </c>
      <c r="BK2" s="10">
        <v>3500</v>
      </c>
      <c r="BL2" s="10">
        <v>15000</v>
      </c>
      <c r="BM2" s="10">
        <v>792600</v>
      </c>
      <c r="BN2" s="11"/>
      <c r="BO2" s="20" t="s">
        <v>116</v>
      </c>
      <c r="BP2" s="10">
        <v>251320</v>
      </c>
      <c r="BQ2" s="11"/>
      <c r="BR2" s="25"/>
      <c r="BS2" s="70"/>
      <c r="BU2" s="12"/>
      <c r="BV2" s="12"/>
      <c r="BW2" s="12"/>
      <c r="BX2" s="12"/>
      <c r="BY2" s="12"/>
      <c r="BZ2" s="12"/>
      <c r="CA2" s="12"/>
      <c r="CB2" s="12"/>
      <c r="CC2" s="11"/>
      <c r="CD2" s="10"/>
      <c r="CE2" s="10"/>
      <c r="CF2" s="10"/>
      <c r="CG2" s="10"/>
      <c r="CH2" s="10"/>
      <c r="CI2" s="10"/>
      <c r="CJ2" s="11"/>
      <c r="CK2" s="20"/>
      <c r="CL2" s="10"/>
      <c r="CM2" s="11"/>
      <c r="CN2" s="25"/>
      <c r="CO2" s="26"/>
      <c r="CQ2" s="12"/>
      <c r="CR2" s="12"/>
      <c r="CS2" s="12"/>
      <c r="CT2" s="12"/>
      <c r="CU2" s="12"/>
      <c r="CV2" s="12"/>
      <c r="CW2" s="12"/>
      <c r="CX2" s="11"/>
      <c r="CY2" s="10"/>
      <c r="CZ2" s="10"/>
      <c r="DA2" s="10"/>
      <c r="DB2" s="10"/>
      <c r="DC2" s="11"/>
      <c r="DD2" s="18"/>
      <c r="DE2" s="10"/>
      <c r="DF2" s="11"/>
      <c r="DG2" s="25"/>
      <c r="DH2" s="26"/>
      <c r="DJ2" s="38"/>
      <c r="DK2" s="47"/>
      <c r="DL2" s="47"/>
      <c r="DM2" s="48"/>
    </row>
    <row r="3" ht="15" customHeight="1" spans="1:117">
      <c r="A3" s="9">
        <v>11500</v>
      </c>
      <c r="B3" s="9">
        <v>5000</v>
      </c>
      <c r="C3" s="9">
        <v>1000</v>
      </c>
      <c r="D3" s="9">
        <v>6000</v>
      </c>
      <c r="E3" s="9">
        <v>5000</v>
      </c>
      <c r="F3" s="9">
        <v>30000</v>
      </c>
      <c r="G3" s="9">
        <v>18000</v>
      </c>
      <c r="H3" s="9">
        <v>12000</v>
      </c>
      <c r="I3" s="11"/>
      <c r="J3" s="68">
        <v>1000</v>
      </c>
      <c r="K3" s="68">
        <v>15000</v>
      </c>
      <c r="L3" s="68">
        <v>50000</v>
      </c>
      <c r="M3" s="68">
        <v>4800</v>
      </c>
      <c r="N3" s="68">
        <v>15000</v>
      </c>
      <c r="O3" s="68">
        <v>19500</v>
      </c>
      <c r="P3" s="68">
        <v>1600</v>
      </c>
      <c r="Q3" s="19"/>
      <c r="R3" s="20" t="s">
        <v>5</v>
      </c>
      <c r="S3" s="10">
        <v>410000</v>
      </c>
      <c r="T3" s="11">
        <v>1</v>
      </c>
      <c r="U3" s="27" t="s">
        <v>9</v>
      </c>
      <c r="V3" s="69">
        <f>SUM(A1:H35)</f>
        <v>4049850</v>
      </c>
      <c r="W3" s="24"/>
      <c r="X3" s="9">
        <v>5000</v>
      </c>
      <c r="Y3" s="9">
        <v>4500</v>
      </c>
      <c r="Z3" s="9">
        <v>5000</v>
      </c>
      <c r="AA3" s="9">
        <v>4000</v>
      </c>
      <c r="AB3" s="9">
        <v>1000</v>
      </c>
      <c r="AC3" s="9">
        <v>15000</v>
      </c>
      <c r="AD3" s="9">
        <v>2000</v>
      </c>
      <c r="AE3" s="9">
        <v>5000</v>
      </c>
      <c r="AF3" s="9"/>
      <c r="AG3" s="11"/>
      <c r="AH3" s="68">
        <v>5280</v>
      </c>
      <c r="AI3" s="68">
        <v>4000</v>
      </c>
      <c r="AJ3" s="68">
        <v>5770</v>
      </c>
      <c r="AK3" s="68">
        <v>3340</v>
      </c>
      <c r="AL3" s="68">
        <v>3500</v>
      </c>
      <c r="AM3" s="68">
        <v>5000</v>
      </c>
      <c r="AN3" s="68">
        <v>5500</v>
      </c>
      <c r="AO3" s="68">
        <v>4500</v>
      </c>
      <c r="AP3" s="68">
        <v>3000</v>
      </c>
      <c r="AQ3" s="19"/>
      <c r="AR3" s="20" t="s">
        <v>130</v>
      </c>
      <c r="AS3" s="10">
        <v>13000</v>
      </c>
      <c r="AT3" s="11">
        <v>1</v>
      </c>
      <c r="AU3" s="27" t="s">
        <v>9</v>
      </c>
      <c r="AV3" s="69">
        <f>SUM(X1:AG35)</f>
        <v>2204050</v>
      </c>
      <c r="AX3" s="9">
        <v>16500</v>
      </c>
      <c r="AY3" s="9">
        <v>1500</v>
      </c>
      <c r="AZ3" s="9">
        <v>2000</v>
      </c>
      <c r="BA3" s="9">
        <v>4500</v>
      </c>
      <c r="BB3" s="9">
        <v>27500</v>
      </c>
      <c r="BC3" s="9">
        <v>5300</v>
      </c>
      <c r="BD3" s="9">
        <v>1600</v>
      </c>
      <c r="BE3" s="9">
        <v>54000</v>
      </c>
      <c r="BF3" s="9"/>
      <c r="BG3" s="11"/>
      <c r="BH3" s="10">
        <v>17500</v>
      </c>
      <c r="BI3" s="10">
        <v>3360</v>
      </c>
      <c r="BJ3" s="10">
        <v>14220</v>
      </c>
      <c r="BK3" s="10">
        <v>13800</v>
      </c>
      <c r="BL3" s="10">
        <v>15500</v>
      </c>
      <c r="BM3" s="10">
        <v>5000</v>
      </c>
      <c r="BN3" s="19"/>
      <c r="BO3" s="20" t="s">
        <v>123</v>
      </c>
      <c r="BP3" s="10">
        <v>53360</v>
      </c>
      <c r="BQ3" s="11">
        <v>1</v>
      </c>
      <c r="BR3" s="27" t="s">
        <v>9</v>
      </c>
      <c r="BS3" s="69">
        <f>SUM(AX1:BG35)</f>
        <v>3095000</v>
      </c>
      <c r="BU3" s="9"/>
      <c r="BV3" s="9"/>
      <c r="BW3" s="9"/>
      <c r="BX3" s="9"/>
      <c r="BY3" s="9"/>
      <c r="BZ3" s="9"/>
      <c r="CA3" s="9"/>
      <c r="CB3" s="9"/>
      <c r="CC3" s="11"/>
      <c r="CD3" s="10"/>
      <c r="CE3" s="10"/>
      <c r="CF3" s="10"/>
      <c r="CG3" s="10"/>
      <c r="CH3" s="10"/>
      <c r="CI3" s="10"/>
      <c r="CJ3" s="19"/>
      <c r="CK3" s="20"/>
      <c r="CL3" s="10"/>
      <c r="CM3" s="11">
        <v>1</v>
      </c>
      <c r="CN3" s="27" t="s">
        <v>9</v>
      </c>
      <c r="CO3" s="23">
        <f>SUM(BU1:CC35)</f>
        <v>0</v>
      </c>
      <c r="CQ3" s="9"/>
      <c r="CR3" s="9"/>
      <c r="CS3" s="9"/>
      <c r="CT3" s="9"/>
      <c r="CU3" s="9"/>
      <c r="CV3" s="9"/>
      <c r="CW3" s="9"/>
      <c r="CX3" s="11"/>
      <c r="CY3" s="10"/>
      <c r="CZ3" s="10"/>
      <c r="DA3" s="10"/>
      <c r="DB3" s="10"/>
      <c r="DC3" s="19"/>
      <c r="DD3" s="20"/>
      <c r="DE3" s="10"/>
      <c r="DF3" s="11">
        <v>1</v>
      </c>
      <c r="DG3" s="27" t="s">
        <v>9</v>
      </c>
      <c r="DH3" s="23">
        <f>SUM(CQ1:CX35)</f>
        <v>0</v>
      </c>
      <c r="DJ3" s="39" t="s">
        <v>9</v>
      </c>
      <c r="DK3" s="49"/>
      <c r="DL3" s="50">
        <f>SUM(V3,AV3,BS3,CO3,DH3)</f>
        <v>9348900</v>
      </c>
      <c r="DM3" s="51"/>
    </row>
    <row r="4" ht="15" customHeight="1" spans="1:117">
      <c r="A4" s="9">
        <v>8000</v>
      </c>
      <c r="B4" s="9">
        <v>10000</v>
      </c>
      <c r="C4" s="9">
        <v>13000</v>
      </c>
      <c r="D4" s="9">
        <v>2000</v>
      </c>
      <c r="E4" s="9">
        <v>2300</v>
      </c>
      <c r="F4" s="9">
        <v>8000</v>
      </c>
      <c r="G4" s="9">
        <v>5000</v>
      </c>
      <c r="H4" s="9">
        <v>1000</v>
      </c>
      <c r="I4" s="11"/>
      <c r="J4" s="68">
        <v>19850</v>
      </c>
      <c r="K4" s="68">
        <v>30000</v>
      </c>
      <c r="L4" s="68">
        <v>1440</v>
      </c>
      <c r="M4" s="68">
        <v>85000</v>
      </c>
      <c r="N4" s="68">
        <v>21000</v>
      </c>
      <c r="O4" s="68">
        <v>10500</v>
      </c>
      <c r="P4" s="68">
        <v>24500</v>
      </c>
      <c r="Q4" s="19"/>
      <c r="R4" s="20" t="s">
        <v>5</v>
      </c>
      <c r="S4" s="10">
        <v>181165</v>
      </c>
      <c r="T4" s="11"/>
      <c r="U4" s="28"/>
      <c r="V4" s="70"/>
      <c r="W4" s="24"/>
      <c r="X4" s="9">
        <v>1000</v>
      </c>
      <c r="Y4" s="9">
        <v>1000</v>
      </c>
      <c r="Z4" s="9">
        <v>4500</v>
      </c>
      <c r="AA4" s="9">
        <v>1500</v>
      </c>
      <c r="AB4" s="9">
        <v>14000</v>
      </c>
      <c r="AC4" s="9">
        <v>1000</v>
      </c>
      <c r="AD4" s="9">
        <v>16500</v>
      </c>
      <c r="AE4" s="9">
        <v>34500</v>
      </c>
      <c r="AF4" s="9"/>
      <c r="AG4" s="11"/>
      <c r="AH4" s="68">
        <v>4500</v>
      </c>
      <c r="AI4" s="68">
        <v>3360</v>
      </c>
      <c r="AJ4" s="68">
        <v>4800</v>
      </c>
      <c r="AK4" s="68">
        <v>5760</v>
      </c>
      <c r="AL4" s="68">
        <v>20400</v>
      </c>
      <c r="AM4" s="68">
        <v>4500</v>
      </c>
      <c r="AN4" s="68">
        <v>40000</v>
      </c>
      <c r="AO4" s="68">
        <v>8500</v>
      </c>
      <c r="AP4" s="68">
        <v>14500</v>
      </c>
      <c r="AQ4" s="19"/>
      <c r="AR4" s="20" t="s">
        <v>123</v>
      </c>
      <c r="AS4" s="10">
        <v>236000</v>
      </c>
      <c r="AT4" s="11"/>
      <c r="AU4" s="28"/>
      <c r="AV4" s="70"/>
      <c r="AX4" s="9">
        <v>11000</v>
      </c>
      <c r="AY4" s="9">
        <v>1500</v>
      </c>
      <c r="AZ4" s="9">
        <v>4500</v>
      </c>
      <c r="BA4" s="9">
        <v>2500</v>
      </c>
      <c r="BB4" s="9">
        <v>4500</v>
      </c>
      <c r="BC4" s="9">
        <v>4000</v>
      </c>
      <c r="BD4" s="9">
        <v>15600</v>
      </c>
      <c r="BE4" s="9">
        <v>14000</v>
      </c>
      <c r="BF4" s="9"/>
      <c r="BG4" s="11"/>
      <c r="BH4" s="10">
        <v>20000</v>
      </c>
      <c r="BI4" s="10">
        <v>3360</v>
      </c>
      <c r="BJ4" s="10">
        <v>5770</v>
      </c>
      <c r="BK4" s="10">
        <v>23000</v>
      </c>
      <c r="BL4" s="10">
        <v>5000</v>
      </c>
      <c r="BM4" s="10">
        <v>2500</v>
      </c>
      <c r="BN4" s="19"/>
      <c r="BO4" s="20" t="s">
        <v>8</v>
      </c>
      <c r="BP4" s="10">
        <v>155540</v>
      </c>
      <c r="BQ4" s="11"/>
      <c r="BR4" s="28"/>
      <c r="BS4" s="70"/>
      <c r="BU4" s="9"/>
      <c r="BV4" s="9"/>
      <c r="BW4" s="9"/>
      <c r="BX4" s="9"/>
      <c r="BY4" s="9"/>
      <c r="BZ4" s="9"/>
      <c r="CA4" s="9"/>
      <c r="CB4" s="9"/>
      <c r="CC4" s="11"/>
      <c r="CD4" s="10"/>
      <c r="CE4" s="10"/>
      <c r="CF4" s="10"/>
      <c r="CG4" s="10"/>
      <c r="CH4" s="10"/>
      <c r="CI4" s="10"/>
      <c r="CJ4" s="19"/>
      <c r="CK4" s="20"/>
      <c r="CL4" s="10"/>
      <c r="CM4" s="11"/>
      <c r="CN4" s="28"/>
      <c r="CO4" s="26"/>
      <c r="CQ4" s="9"/>
      <c r="CR4" s="9"/>
      <c r="CS4" s="9"/>
      <c r="CT4" s="9"/>
      <c r="CU4" s="9"/>
      <c r="CV4" s="9"/>
      <c r="CW4" s="9"/>
      <c r="CX4" s="11"/>
      <c r="CY4" s="10"/>
      <c r="CZ4" s="10"/>
      <c r="DA4" s="10"/>
      <c r="DB4" s="10"/>
      <c r="DC4" s="19"/>
      <c r="DD4" s="20"/>
      <c r="DE4" s="10"/>
      <c r="DF4" s="11"/>
      <c r="DG4" s="28"/>
      <c r="DH4" s="26"/>
      <c r="DJ4" s="40"/>
      <c r="DK4" s="52"/>
      <c r="DL4" s="53"/>
      <c r="DM4" s="54"/>
    </row>
    <row r="5" ht="15" customHeight="1" spans="1:117">
      <c r="A5" s="9">
        <v>5000</v>
      </c>
      <c r="B5" s="9">
        <v>1000</v>
      </c>
      <c r="C5" s="9">
        <v>500</v>
      </c>
      <c r="D5" s="9">
        <v>5000</v>
      </c>
      <c r="E5" s="9">
        <v>5500</v>
      </c>
      <c r="F5" s="9">
        <v>3000</v>
      </c>
      <c r="G5" s="9">
        <v>30100</v>
      </c>
      <c r="H5" s="9">
        <v>6500</v>
      </c>
      <c r="I5" s="11"/>
      <c r="J5" s="68">
        <v>4000</v>
      </c>
      <c r="K5" s="68">
        <v>31000</v>
      </c>
      <c r="L5" s="68">
        <v>8000</v>
      </c>
      <c r="M5" s="68">
        <v>5760</v>
      </c>
      <c r="N5" s="68">
        <v>2500</v>
      </c>
      <c r="O5" s="68">
        <v>46000</v>
      </c>
      <c r="P5" s="68">
        <v>3500</v>
      </c>
      <c r="Q5" s="19"/>
      <c r="R5" s="20" t="s">
        <v>123</v>
      </c>
      <c r="S5" s="10">
        <v>117000</v>
      </c>
      <c r="T5" s="11"/>
      <c r="U5" s="27" t="s">
        <v>17</v>
      </c>
      <c r="V5" s="69">
        <f>SUM(J2:P35)</f>
        <v>4824770</v>
      </c>
      <c r="W5" s="24"/>
      <c r="X5" s="9">
        <v>2500</v>
      </c>
      <c r="Y5" s="9">
        <v>6000</v>
      </c>
      <c r="Z5" s="9">
        <v>20000</v>
      </c>
      <c r="AA5" s="9">
        <v>3000</v>
      </c>
      <c r="AB5" s="9">
        <v>3500</v>
      </c>
      <c r="AC5" s="9">
        <v>5000</v>
      </c>
      <c r="AD5" s="9">
        <v>7500</v>
      </c>
      <c r="AE5" s="9">
        <v>1000</v>
      </c>
      <c r="AF5" s="9"/>
      <c r="AG5" s="11"/>
      <c r="AH5" s="68">
        <v>33000</v>
      </c>
      <c r="AI5" s="68">
        <v>3000</v>
      </c>
      <c r="AJ5" s="68">
        <v>180</v>
      </c>
      <c r="AK5" s="68">
        <v>15600</v>
      </c>
      <c r="AL5" s="68">
        <v>6750</v>
      </c>
      <c r="AM5" s="68">
        <v>5000</v>
      </c>
      <c r="AN5" s="68">
        <v>2500</v>
      </c>
      <c r="AO5" s="68">
        <v>600</v>
      </c>
      <c r="AP5" s="68">
        <v>18500</v>
      </c>
      <c r="AQ5" s="19"/>
      <c r="AR5" s="20" t="s">
        <v>14</v>
      </c>
      <c r="AS5" s="10">
        <v>648270</v>
      </c>
      <c r="AT5" s="11"/>
      <c r="AU5" s="27" t="s">
        <v>17</v>
      </c>
      <c r="AV5" s="69">
        <f>SUM(AH2:AP35)</f>
        <v>3837610</v>
      </c>
      <c r="AX5" s="9">
        <v>1200</v>
      </c>
      <c r="AY5" s="9">
        <v>2000</v>
      </c>
      <c r="AZ5" s="9">
        <v>5000</v>
      </c>
      <c r="BA5" s="9">
        <v>8000</v>
      </c>
      <c r="BB5" s="9">
        <v>11500</v>
      </c>
      <c r="BC5" s="9">
        <v>4000</v>
      </c>
      <c r="BD5" s="9">
        <v>4500</v>
      </c>
      <c r="BE5" s="9">
        <v>1000</v>
      </c>
      <c r="BF5" s="9"/>
      <c r="BG5" s="11"/>
      <c r="BH5" s="10">
        <v>33600</v>
      </c>
      <c r="BI5" s="10">
        <v>4130</v>
      </c>
      <c r="BJ5" s="10">
        <v>7000</v>
      </c>
      <c r="BK5" s="10">
        <v>10000</v>
      </c>
      <c r="BL5" s="10">
        <v>15500</v>
      </c>
      <c r="BM5" s="10">
        <v>20500</v>
      </c>
      <c r="BN5" s="19"/>
      <c r="BO5" s="20" t="s">
        <v>151</v>
      </c>
      <c r="BP5" s="10">
        <v>7200</v>
      </c>
      <c r="BQ5" s="11"/>
      <c r="BR5" s="27" t="s">
        <v>17</v>
      </c>
      <c r="BS5" s="69">
        <f>SUM(BH2:BM35)</f>
        <v>3026340</v>
      </c>
      <c r="BU5" s="9"/>
      <c r="BV5" s="9"/>
      <c r="BW5" s="9"/>
      <c r="BX5" s="9"/>
      <c r="BY5" s="9"/>
      <c r="BZ5" s="9"/>
      <c r="CA5" s="9"/>
      <c r="CB5" s="9"/>
      <c r="CC5" s="11"/>
      <c r="CD5" s="10"/>
      <c r="CE5" s="10"/>
      <c r="CF5" s="10"/>
      <c r="CG5" s="10"/>
      <c r="CH5" s="10"/>
      <c r="CI5" s="10"/>
      <c r="CJ5" s="19"/>
      <c r="CK5" s="20"/>
      <c r="CL5" s="10"/>
      <c r="CM5" s="11"/>
      <c r="CN5" s="27" t="s">
        <v>17</v>
      </c>
      <c r="CO5" s="23">
        <f>SUM(CD2:CI35)</f>
        <v>0</v>
      </c>
      <c r="CQ5" s="9"/>
      <c r="CR5" s="9"/>
      <c r="CS5" s="9"/>
      <c r="CT5" s="9"/>
      <c r="CU5" s="9"/>
      <c r="CV5" s="9"/>
      <c r="CW5" s="9"/>
      <c r="CX5" s="11"/>
      <c r="CY5" s="10"/>
      <c r="CZ5" s="10"/>
      <c r="DA5" s="10"/>
      <c r="DB5" s="10"/>
      <c r="DC5" s="19"/>
      <c r="DD5" s="20"/>
      <c r="DE5" s="10"/>
      <c r="DF5" s="11"/>
      <c r="DG5" s="27" t="s">
        <v>17</v>
      </c>
      <c r="DH5" s="23">
        <f>SUM(CY2:DB35)</f>
        <v>0</v>
      </c>
      <c r="DJ5" s="39" t="s">
        <v>17</v>
      </c>
      <c r="DK5" s="49"/>
      <c r="DL5" s="50">
        <f>SUM(V5,AV5,BS5,CO5,DH5)</f>
        <v>11688720</v>
      </c>
      <c r="DM5" s="51"/>
    </row>
    <row r="6" ht="15" customHeight="1" spans="1:117">
      <c r="A6" s="9">
        <v>40000</v>
      </c>
      <c r="B6" s="9">
        <v>4500</v>
      </c>
      <c r="C6" s="9">
        <v>4500</v>
      </c>
      <c r="D6" s="9">
        <v>22000</v>
      </c>
      <c r="E6" s="9">
        <v>2500</v>
      </c>
      <c r="F6" s="9">
        <v>10000</v>
      </c>
      <c r="G6" s="9">
        <v>3500</v>
      </c>
      <c r="H6" s="9">
        <v>4200</v>
      </c>
      <c r="I6" s="11"/>
      <c r="J6" s="68">
        <v>12000</v>
      </c>
      <c r="K6" s="68">
        <v>11500</v>
      </c>
      <c r="L6" s="68">
        <v>20650</v>
      </c>
      <c r="M6" s="68">
        <v>102640</v>
      </c>
      <c r="N6" s="68">
        <v>7500</v>
      </c>
      <c r="O6" s="68">
        <v>6500</v>
      </c>
      <c r="P6" s="68">
        <v>6000</v>
      </c>
      <c r="Q6" s="19"/>
      <c r="R6" s="20" t="s">
        <v>41</v>
      </c>
      <c r="S6" s="10">
        <v>351200</v>
      </c>
      <c r="T6" s="11"/>
      <c r="U6" s="28"/>
      <c r="V6" s="70"/>
      <c r="W6" s="24"/>
      <c r="X6" s="9">
        <v>400</v>
      </c>
      <c r="Y6" s="9">
        <v>7500</v>
      </c>
      <c r="Z6" s="9">
        <v>1500</v>
      </c>
      <c r="AA6" s="9">
        <v>6000</v>
      </c>
      <c r="AB6" s="9">
        <v>1000</v>
      </c>
      <c r="AC6" s="9">
        <v>4500</v>
      </c>
      <c r="AD6" s="9">
        <v>3500</v>
      </c>
      <c r="AE6" s="9">
        <v>30000</v>
      </c>
      <c r="AF6" s="9"/>
      <c r="AG6" s="11"/>
      <c r="AH6" s="68">
        <v>1000</v>
      </c>
      <c r="AI6" s="68">
        <v>22800</v>
      </c>
      <c r="AJ6" s="68">
        <v>21600</v>
      </c>
      <c r="AK6" s="68">
        <v>12000</v>
      </c>
      <c r="AL6" s="68">
        <v>2500</v>
      </c>
      <c r="AM6" s="68">
        <v>35000</v>
      </c>
      <c r="AN6" s="68">
        <v>4200</v>
      </c>
      <c r="AO6" s="68">
        <v>45600</v>
      </c>
      <c r="AP6" s="68">
        <v>3000</v>
      </c>
      <c r="AQ6" s="19"/>
      <c r="AR6" s="20" t="s">
        <v>203</v>
      </c>
      <c r="AS6" s="10">
        <v>42000</v>
      </c>
      <c r="AT6" s="11"/>
      <c r="AU6" s="28"/>
      <c r="AV6" s="70"/>
      <c r="AX6" s="9">
        <v>3500</v>
      </c>
      <c r="AY6" s="9">
        <v>5000</v>
      </c>
      <c r="AZ6" s="9">
        <v>4500</v>
      </c>
      <c r="BA6" s="9">
        <v>72000</v>
      </c>
      <c r="BB6" s="9">
        <v>7800</v>
      </c>
      <c r="BC6" s="9">
        <v>3000</v>
      </c>
      <c r="BD6" s="9">
        <v>11000</v>
      </c>
      <c r="BE6" s="9">
        <v>5500</v>
      </c>
      <c r="BF6" s="9"/>
      <c r="BG6" s="11"/>
      <c r="BH6" s="10">
        <v>41000</v>
      </c>
      <c r="BI6" s="10">
        <v>2500</v>
      </c>
      <c r="BJ6" s="10">
        <v>7700</v>
      </c>
      <c r="BK6" s="10">
        <v>4500</v>
      </c>
      <c r="BL6" s="10">
        <v>3500</v>
      </c>
      <c r="BM6" s="10">
        <v>12000</v>
      </c>
      <c r="BN6" s="19"/>
      <c r="BO6" s="20" t="s">
        <v>31</v>
      </c>
      <c r="BP6" s="10">
        <v>14000</v>
      </c>
      <c r="BQ6" s="11"/>
      <c r="BR6" s="28"/>
      <c r="BS6" s="70"/>
      <c r="BU6" s="9"/>
      <c r="BV6" s="9"/>
      <c r="BW6" s="9"/>
      <c r="BX6" s="9"/>
      <c r="BY6" s="9"/>
      <c r="BZ6" s="9"/>
      <c r="CA6" s="9"/>
      <c r="CB6" s="9"/>
      <c r="CC6" s="11"/>
      <c r="CD6" s="10"/>
      <c r="CE6" s="10"/>
      <c r="CF6" s="10"/>
      <c r="CG6" s="10"/>
      <c r="CH6" s="10"/>
      <c r="CI6" s="10"/>
      <c r="CJ6" s="19"/>
      <c r="CK6" s="20"/>
      <c r="CL6" s="10"/>
      <c r="CM6" s="11"/>
      <c r="CN6" s="28"/>
      <c r="CO6" s="26"/>
      <c r="CQ6" s="9"/>
      <c r="CR6" s="9"/>
      <c r="CS6" s="9"/>
      <c r="CT6" s="9"/>
      <c r="CU6" s="9"/>
      <c r="CV6" s="9"/>
      <c r="CW6" s="9"/>
      <c r="CX6" s="11"/>
      <c r="CY6" s="10"/>
      <c r="CZ6" s="10"/>
      <c r="DA6" s="10"/>
      <c r="DB6" s="10"/>
      <c r="DC6" s="19"/>
      <c r="DD6" s="20"/>
      <c r="DE6" s="10"/>
      <c r="DF6" s="11"/>
      <c r="DG6" s="28"/>
      <c r="DH6" s="26"/>
      <c r="DJ6" s="40"/>
      <c r="DK6" s="52"/>
      <c r="DL6" s="53"/>
      <c r="DM6" s="54"/>
    </row>
    <row r="7" ht="15" customHeight="1" spans="1:117">
      <c r="A7" s="9">
        <v>40000</v>
      </c>
      <c r="B7" s="9">
        <v>20000</v>
      </c>
      <c r="C7" s="9">
        <v>1000</v>
      </c>
      <c r="D7" s="9">
        <v>18000</v>
      </c>
      <c r="E7" s="9">
        <v>2000</v>
      </c>
      <c r="F7" s="9">
        <v>5000</v>
      </c>
      <c r="G7" s="9">
        <v>2000</v>
      </c>
      <c r="H7" s="9">
        <v>1000</v>
      </c>
      <c r="I7" s="11"/>
      <c r="J7" s="68">
        <v>23000</v>
      </c>
      <c r="K7" s="68">
        <v>20000</v>
      </c>
      <c r="L7" s="68">
        <v>67500</v>
      </c>
      <c r="M7" s="68">
        <v>66290</v>
      </c>
      <c r="N7" s="68">
        <v>1000</v>
      </c>
      <c r="O7" s="68">
        <v>2500</v>
      </c>
      <c r="P7" s="68">
        <v>5500</v>
      </c>
      <c r="Q7" s="19"/>
      <c r="R7" s="20" t="s">
        <v>22</v>
      </c>
      <c r="S7" s="10">
        <v>855000</v>
      </c>
      <c r="T7" s="11"/>
      <c r="U7" s="27" t="s">
        <v>1</v>
      </c>
      <c r="V7" s="69">
        <f>SUM(S2:S35)</f>
        <v>6786250</v>
      </c>
      <c r="W7" s="24"/>
      <c r="X7" s="9">
        <v>3600</v>
      </c>
      <c r="Y7" s="9">
        <v>3000</v>
      </c>
      <c r="Z7" s="9">
        <v>3000</v>
      </c>
      <c r="AA7" s="9">
        <v>3500</v>
      </c>
      <c r="AB7" s="9">
        <v>12000</v>
      </c>
      <c r="AC7" s="9">
        <v>2000</v>
      </c>
      <c r="AD7" s="9">
        <v>1400</v>
      </c>
      <c r="AE7" s="9">
        <v>17500</v>
      </c>
      <c r="AF7" s="9"/>
      <c r="AG7" s="11"/>
      <c r="AH7" s="68">
        <v>1920</v>
      </c>
      <c r="AI7" s="68">
        <v>2000</v>
      </c>
      <c r="AJ7" s="68">
        <v>5080</v>
      </c>
      <c r="AK7" s="68">
        <v>7920</v>
      </c>
      <c r="AL7" s="68">
        <v>1600</v>
      </c>
      <c r="AM7" s="68">
        <v>47000</v>
      </c>
      <c r="AN7" s="68">
        <v>12000</v>
      </c>
      <c r="AO7" s="68">
        <v>3200</v>
      </c>
      <c r="AP7" s="68">
        <v>4500</v>
      </c>
      <c r="AQ7" s="19"/>
      <c r="AR7" s="20" t="s">
        <v>86</v>
      </c>
      <c r="AS7" s="10">
        <v>129000</v>
      </c>
      <c r="AT7" s="11"/>
      <c r="AU7" s="27" t="s">
        <v>1</v>
      </c>
      <c r="AV7" s="69">
        <f>SUM(AS2:AS35)</f>
        <v>5776580</v>
      </c>
      <c r="AX7" s="9">
        <v>4000</v>
      </c>
      <c r="AY7" s="9">
        <v>3450</v>
      </c>
      <c r="AZ7" s="9">
        <v>1000</v>
      </c>
      <c r="BA7" s="9">
        <v>4500</v>
      </c>
      <c r="BB7" s="9">
        <v>3500</v>
      </c>
      <c r="BC7" s="9">
        <v>29000</v>
      </c>
      <c r="BD7" s="9">
        <v>3000</v>
      </c>
      <c r="BE7" s="9">
        <v>1500</v>
      </c>
      <c r="BF7" s="9"/>
      <c r="BG7" s="11"/>
      <c r="BH7" s="10">
        <v>43190</v>
      </c>
      <c r="BI7" s="10">
        <v>1000</v>
      </c>
      <c r="BJ7" s="10">
        <v>29590</v>
      </c>
      <c r="BK7" s="10">
        <v>55000</v>
      </c>
      <c r="BL7" s="10">
        <v>7800</v>
      </c>
      <c r="BM7" s="10">
        <v>35000</v>
      </c>
      <c r="BN7" s="19"/>
      <c r="BO7" s="20" t="s">
        <v>44</v>
      </c>
      <c r="BP7" s="10">
        <v>278370</v>
      </c>
      <c r="BQ7" s="11"/>
      <c r="BR7" s="27" t="s">
        <v>1</v>
      </c>
      <c r="BS7" s="69">
        <f>SUM(BP2:BP35)</f>
        <v>1329390</v>
      </c>
      <c r="BU7" s="9"/>
      <c r="BV7" s="9"/>
      <c r="BW7" s="9"/>
      <c r="BX7" s="9"/>
      <c r="BY7" s="9"/>
      <c r="BZ7" s="9"/>
      <c r="CA7" s="9"/>
      <c r="CB7" s="9"/>
      <c r="CC7" s="11"/>
      <c r="CD7" s="10"/>
      <c r="CE7" s="10"/>
      <c r="CF7" s="10"/>
      <c r="CG7" s="10"/>
      <c r="CH7" s="10"/>
      <c r="CI7" s="10"/>
      <c r="CJ7" s="19"/>
      <c r="CK7" s="20"/>
      <c r="CL7" s="10"/>
      <c r="CM7" s="11"/>
      <c r="CN7" s="27" t="s">
        <v>1</v>
      </c>
      <c r="CO7" s="23">
        <f>SUM(CL2:CL35)</f>
        <v>0</v>
      </c>
      <c r="CQ7" s="9"/>
      <c r="CR7" s="9"/>
      <c r="CS7" s="9"/>
      <c r="CT7" s="9"/>
      <c r="CU7" s="9"/>
      <c r="CV7" s="9"/>
      <c r="CW7" s="9"/>
      <c r="CX7" s="11"/>
      <c r="CY7" s="10"/>
      <c r="CZ7" s="10"/>
      <c r="DA7" s="10"/>
      <c r="DB7" s="10"/>
      <c r="DC7" s="19"/>
      <c r="DD7" s="20"/>
      <c r="DE7" s="10"/>
      <c r="DF7" s="11"/>
      <c r="DG7" s="27" t="s">
        <v>1</v>
      </c>
      <c r="DH7" s="23">
        <f>SUM(DE2:DE35)</f>
        <v>0</v>
      </c>
      <c r="DJ7" s="39" t="s">
        <v>1</v>
      </c>
      <c r="DK7" s="49"/>
      <c r="DL7" s="50">
        <f>SUM(V7,AV7,BS7,CO7,DH7)</f>
        <v>13892220</v>
      </c>
      <c r="DM7" s="51"/>
    </row>
    <row r="8" ht="15" customHeight="1" spans="1:117">
      <c r="A8" s="9">
        <v>25000</v>
      </c>
      <c r="B8" s="9">
        <v>5000</v>
      </c>
      <c r="C8" s="9">
        <v>46000</v>
      </c>
      <c r="D8" s="9">
        <v>1500</v>
      </c>
      <c r="E8" s="9">
        <v>4500</v>
      </c>
      <c r="F8" s="9">
        <v>30000</v>
      </c>
      <c r="G8" s="9">
        <v>1000</v>
      </c>
      <c r="H8" s="9">
        <v>2000</v>
      </c>
      <c r="I8" s="11"/>
      <c r="J8" s="68">
        <v>31500</v>
      </c>
      <c r="K8" s="68">
        <v>12500</v>
      </c>
      <c r="L8" s="68">
        <v>25500</v>
      </c>
      <c r="M8" s="68">
        <v>4320</v>
      </c>
      <c r="N8" s="68">
        <v>22000</v>
      </c>
      <c r="O8" s="68">
        <v>20800</v>
      </c>
      <c r="P8" s="68">
        <v>7800</v>
      </c>
      <c r="Q8" s="19"/>
      <c r="R8" s="20" t="s">
        <v>151</v>
      </c>
      <c r="S8" s="10">
        <v>24200</v>
      </c>
      <c r="T8" s="11"/>
      <c r="U8" s="28"/>
      <c r="V8" s="70"/>
      <c r="W8" s="24"/>
      <c r="X8" s="9">
        <v>6400</v>
      </c>
      <c r="Y8" s="9">
        <v>4000</v>
      </c>
      <c r="Z8" s="9">
        <v>1500</v>
      </c>
      <c r="AA8" s="9">
        <v>1500</v>
      </c>
      <c r="AB8" s="9">
        <v>500</v>
      </c>
      <c r="AC8" s="9">
        <v>3000</v>
      </c>
      <c r="AD8" s="9">
        <v>3000</v>
      </c>
      <c r="AE8" s="9">
        <v>14000</v>
      </c>
      <c r="AF8" s="9"/>
      <c r="AG8" s="11"/>
      <c r="AH8" s="68">
        <v>61970</v>
      </c>
      <c r="AI8" s="68">
        <v>11000</v>
      </c>
      <c r="AJ8" s="68">
        <v>8650</v>
      </c>
      <c r="AK8" s="68">
        <v>2000</v>
      </c>
      <c r="AL8" s="68">
        <v>3000</v>
      </c>
      <c r="AM8" s="68">
        <v>10500</v>
      </c>
      <c r="AN8" s="68">
        <v>5000</v>
      </c>
      <c r="AO8" s="68">
        <v>11300</v>
      </c>
      <c r="AP8" s="68">
        <v>64000</v>
      </c>
      <c r="AQ8" s="19"/>
      <c r="AR8" s="20" t="s">
        <v>48</v>
      </c>
      <c r="AS8" s="10">
        <v>125000</v>
      </c>
      <c r="AT8" s="11"/>
      <c r="AU8" s="28"/>
      <c r="AV8" s="70"/>
      <c r="AX8" s="9">
        <v>100000</v>
      </c>
      <c r="AY8" s="9">
        <v>3000</v>
      </c>
      <c r="AZ8" s="9">
        <v>15000</v>
      </c>
      <c r="BA8" s="9">
        <v>2000</v>
      </c>
      <c r="BB8" s="9">
        <v>7000</v>
      </c>
      <c r="BC8" s="9">
        <v>5500</v>
      </c>
      <c r="BD8" s="9">
        <v>28000</v>
      </c>
      <c r="BE8" s="9">
        <v>400</v>
      </c>
      <c r="BF8" s="9"/>
      <c r="BG8" s="11"/>
      <c r="BH8" s="10">
        <v>2000</v>
      </c>
      <c r="BI8" s="10">
        <v>12000</v>
      </c>
      <c r="BJ8" s="10">
        <v>15000</v>
      </c>
      <c r="BK8" s="10">
        <v>16000</v>
      </c>
      <c r="BL8" s="10">
        <v>5800</v>
      </c>
      <c r="BM8" s="10">
        <v>31000</v>
      </c>
      <c r="BN8" s="19"/>
      <c r="BO8" s="20" t="s">
        <v>34</v>
      </c>
      <c r="BP8" s="10">
        <v>57000</v>
      </c>
      <c r="BQ8" s="11"/>
      <c r="BR8" s="28"/>
      <c r="BS8" s="70"/>
      <c r="BU8" s="9"/>
      <c r="BV8" s="9"/>
      <c r="BW8" s="9"/>
      <c r="BX8" s="9"/>
      <c r="BY8" s="9"/>
      <c r="BZ8" s="9"/>
      <c r="CA8" s="9"/>
      <c r="CB8" s="9"/>
      <c r="CC8" s="11"/>
      <c r="CD8" s="10"/>
      <c r="CE8" s="10"/>
      <c r="CF8" s="10"/>
      <c r="CG8" s="10"/>
      <c r="CH8" s="10"/>
      <c r="CI8" s="10"/>
      <c r="CJ8" s="19"/>
      <c r="CK8" s="20"/>
      <c r="CL8" s="10"/>
      <c r="CM8" s="11"/>
      <c r="CN8" s="28"/>
      <c r="CO8" s="26"/>
      <c r="CQ8" s="9"/>
      <c r="CR8" s="9"/>
      <c r="CS8" s="9"/>
      <c r="CT8" s="9"/>
      <c r="CU8" s="9"/>
      <c r="CV8" s="9"/>
      <c r="CW8" s="9"/>
      <c r="CX8" s="11"/>
      <c r="CY8" s="10"/>
      <c r="CZ8" s="10"/>
      <c r="DA8" s="10"/>
      <c r="DB8" s="10"/>
      <c r="DC8" s="19"/>
      <c r="DD8" s="20"/>
      <c r="DE8" s="10"/>
      <c r="DF8" s="11"/>
      <c r="DG8" s="28"/>
      <c r="DH8" s="26"/>
      <c r="DJ8" s="40"/>
      <c r="DK8" s="52"/>
      <c r="DL8" s="53"/>
      <c r="DM8" s="54"/>
    </row>
    <row r="9" ht="15" customHeight="1" spans="1:117">
      <c r="A9" s="9">
        <v>5000</v>
      </c>
      <c r="B9" s="9">
        <v>1500</v>
      </c>
      <c r="C9" s="9">
        <v>2500</v>
      </c>
      <c r="D9" s="9">
        <v>1500</v>
      </c>
      <c r="E9" s="9">
        <v>4500</v>
      </c>
      <c r="F9" s="9">
        <v>3000</v>
      </c>
      <c r="G9" s="9">
        <v>4000</v>
      </c>
      <c r="H9" s="9">
        <v>4500</v>
      </c>
      <c r="I9" s="11"/>
      <c r="J9" s="68">
        <v>550</v>
      </c>
      <c r="K9" s="68">
        <v>22860</v>
      </c>
      <c r="L9" s="68">
        <v>7000</v>
      </c>
      <c r="M9" s="68">
        <v>7700</v>
      </c>
      <c r="N9" s="68">
        <v>9500</v>
      </c>
      <c r="O9" s="68">
        <v>2000</v>
      </c>
      <c r="P9" s="68">
        <v>5000</v>
      </c>
      <c r="Q9" s="19"/>
      <c r="R9" s="20" t="s">
        <v>155</v>
      </c>
      <c r="S9" s="10">
        <v>301600</v>
      </c>
      <c r="T9" s="11"/>
      <c r="U9" s="29" t="s">
        <v>33</v>
      </c>
      <c r="V9" s="71">
        <f>V3+V5</f>
        <v>8874620</v>
      </c>
      <c r="W9" s="24"/>
      <c r="X9" s="9">
        <v>3000</v>
      </c>
      <c r="Y9" s="9">
        <v>12000</v>
      </c>
      <c r="Z9" s="9">
        <v>6000</v>
      </c>
      <c r="AA9" s="9">
        <v>4000</v>
      </c>
      <c r="AB9" s="9">
        <v>2000</v>
      </c>
      <c r="AC9" s="9">
        <v>3000</v>
      </c>
      <c r="AD9" s="9">
        <v>9200</v>
      </c>
      <c r="AE9" s="9">
        <v>4500</v>
      </c>
      <c r="AF9" s="9"/>
      <c r="AG9" s="11"/>
      <c r="AH9" s="68">
        <v>7000</v>
      </c>
      <c r="AI9" s="68">
        <v>3900</v>
      </c>
      <c r="AJ9" s="68">
        <v>18300</v>
      </c>
      <c r="AK9" s="68">
        <v>400</v>
      </c>
      <c r="AL9" s="68">
        <v>15240</v>
      </c>
      <c r="AM9" s="68">
        <v>13500</v>
      </c>
      <c r="AN9" s="68">
        <v>6400</v>
      </c>
      <c r="AO9" s="68">
        <v>5500</v>
      </c>
      <c r="AP9" s="68">
        <v>10000</v>
      </c>
      <c r="AQ9" s="19"/>
      <c r="AR9" s="20" t="s">
        <v>204</v>
      </c>
      <c r="AS9" s="10">
        <v>727000</v>
      </c>
      <c r="AT9" s="11"/>
      <c r="AU9" s="29" t="s">
        <v>33</v>
      </c>
      <c r="AV9" s="71">
        <f>AV3+AV5</f>
        <v>6041660</v>
      </c>
      <c r="AX9" s="9">
        <v>30000</v>
      </c>
      <c r="AY9" s="9">
        <v>6500</v>
      </c>
      <c r="AZ9" s="9">
        <v>4000</v>
      </c>
      <c r="BA9" s="9">
        <v>10000</v>
      </c>
      <c r="BB9" s="9">
        <v>25500</v>
      </c>
      <c r="BC9" s="9">
        <v>3500</v>
      </c>
      <c r="BD9" s="9">
        <v>1500</v>
      </c>
      <c r="BE9" s="9">
        <v>16000</v>
      </c>
      <c r="BF9" s="9"/>
      <c r="BG9" s="11"/>
      <c r="BH9" s="10">
        <v>7500</v>
      </c>
      <c r="BI9" s="10">
        <v>52340</v>
      </c>
      <c r="BJ9" s="10">
        <v>3840</v>
      </c>
      <c r="BK9" s="10">
        <v>6500</v>
      </c>
      <c r="BL9" s="10">
        <v>11000</v>
      </c>
      <c r="BM9" s="10">
        <v>3500</v>
      </c>
      <c r="BN9" s="19"/>
      <c r="BO9" s="20" t="s">
        <v>43</v>
      </c>
      <c r="BP9" s="10">
        <v>258000</v>
      </c>
      <c r="BQ9" s="11"/>
      <c r="BR9" s="29" t="s">
        <v>33</v>
      </c>
      <c r="BS9" s="71">
        <f>BS3+BS5</f>
        <v>6121340</v>
      </c>
      <c r="BU9" s="9"/>
      <c r="BV9" s="9"/>
      <c r="BW9" s="9"/>
      <c r="BX9" s="9"/>
      <c r="BY9" s="9"/>
      <c r="BZ9" s="9"/>
      <c r="CA9" s="9"/>
      <c r="CB9" s="9"/>
      <c r="CC9" s="11"/>
      <c r="CD9" s="10"/>
      <c r="CE9" s="10"/>
      <c r="CF9" s="10"/>
      <c r="CG9" s="10"/>
      <c r="CH9" s="10"/>
      <c r="CI9" s="10"/>
      <c r="CJ9" s="19"/>
      <c r="CK9" s="20"/>
      <c r="CL9" s="10"/>
      <c r="CM9" s="11"/>
      <c r="CN9" s="29" t="s">
        <v>33</v>
      </c>
      <c r="CO9" s="30">
        <f>CO3+CO5</f>
        <v>0</v>
      </c>
      <c r="CQ9" s="9"/>
      <c r="CR9" s="9"/>
      <c r="CS9" s="9"/>
      <c r="CT9" s="9"/>
      <c r="CU9" s="9"/>
      <c r="CV9" s="9"/>
      <c r="CW9" s="9"/>
      <c r="CX9" s="11"/>
      <c r="CY9" s="10"/>
      <c r="CZ9" s="10"/>
      <c r="DA9" s="10"/>
      <c r="DB9" s="10"/>
      <c r="DC9" s="19"/>
      <c r="DD9" s="20"/>
      <c r="DE9" s="10"/>
      <c r="DF9" s="11"/>
      <c r="DG9" s="29" t="s">
        <v>33</v>
      </c>
      <c r="DH9" s="30">
        <f>DH3+DH5</f>
        <v>0</v>
      </c>
      <c r="DJ9" s="41" t="s">
        <v>33</v>
      </c>
      <c r="DK9" s="55"/>
      <c r="DL9" s="56">
        <f>DL3+DL5</f>
        <v>21037620</v>
      </c>
      <c r="DM9" s="57"/>
    </row>
    <row r="10" ht="15" customHeight="1" spans="1:117">
      <c r="A10" s="9">
        <v>6000</v>
      </c>
      <c r="B10" s="9">
        <v>8000</v>
      </c>
      <c r="C10" s="9">
        <v>95000</v>
      </c>
      <c r="D10" s="9">
        <v>22000</v>
      </c>
      <c r="E10" s="9">
        <v>24000</v>
      </c>
      <c r="F10" s="9">
        <v>5000</v>
      </c>
      <c r="G10" s="9">
        <v>13500</v>
      </c>
      <c r="H10" s="9">
        <v>4000</v>
      </c>
      <c r="I10" s="11"/>
      <c r="J10" s="68">
        <v>26500</v>
      </c>
      <c r="K10" s="68">
        <v>13000</v>
      </c>
      <c r="L10" s="68">
        <v>14410</v>
      </c>
      <c r="M10" s="68">
        <v>18000</v>
      </c>
      <c r="N10" s="68">
        <v>4500</v>
      </c>
      <c r="O10" s="68">
        <v>2000</v>
      </c>
      <c r="P10" s="68">
        <v>3000</v>
      </c>
      <c r="Q10" s="19"/>
      <c r="R10" s="20" t="s">
        <v>205</v>
      </c>
      <c r="S10" s="10">
        <v>311380</v>
      </c>
      <c r="T10" s="11"/>
      <c r="U10" s="29" t="s">
        <v>36</v>
      </c>
      <c r="V10" s="71">
        <f>V1+V3+V5-V7+V15+V16</f>
        <v>2168370</v>
      </c>
      <c r="W10" s="24"/>
      <c r="X10" s="9">
        <v>13000</v>
      </c>
      <c r="Y10" s="9">
        <v>3000</v>
      </c>
      <c r="Z10" s="9">
        <v>9000</v>
      </c>
      <c r="AA10" s="9">
        <v>9000</v>
      </c>
      <c r="AB10" s="9">
        <v>4500</v>
      </c>
      <c r="AC10" s="9">
        <v>3000</v>
      </c>
      <c r="AD10" s="9">
        <v>7000</v>
      </c>
      <c r="AE10" s="9">
        <v>5500</v>
      </c>
      <c r="AF10" s="9"/>
      <c r="AG10" s="11"/>
      <c r="AH10" s="68">
        <v>61500</v>
      </c>
      <c r="AI10" s="68">
        <v>20000</v>
      </c>
      <c r="AJ10" s="68">
        <v>20320</v>
      </c>
      <c r="AK10" s="68">
        <v>18000</v>
      </c>
      <c r="AL10" s="68">
        <v>1520</v>
      </c>
      <c r="AM10" s="68">
        <v>2300</v>
      </c>
      <c r="AN10" s="68">
        <v>900</v>
      </c>
      <c r="AO10" s="68">
        <v>16000</v>
      </c>
      <c r="AP10" s="68">
        <v>10000</v>
      </c>
      <c r="AQ10" s="19"/>
      <c r="AR10" s="20" t="s">
        <v>27</v>
      </c>
      <c r="AS10" s="10">
        <v>93000</v>
      </c>
      <c r="AT10" s="11"/>
      <c r="AU10" s="29" t="s">
        <v>36</v>
      </c>
      <c r="AV10" s="71">
        <f>AV1+AV3+AV5-AV7+AV15+AV16</f>
        <v>1409670</v>
      </c>
      <c r="AX10" s="9">
        <v>5000</v>
      </c>
      <c r="AY10" s="9">
        <v>1500</v>
      </c>
      <c r="AZ10" s="9">
        <v>6000</v>
      </c>
      <c r="BA10" s="9">
        <v>1000</v>
      </c>
      <c r="BB10" s="9">
        <v>2000</v>
      </c>
      <c r="BC10" s="9">
        <v>10000</v>
      </c>
      <c r="BD10" s="9">
        <v>300</v>
      </c>
      <c r="BE10" s="9">
        <v>8000</v>
      </c>
      <c r="BF10" s="9"/>
      <c r="BG10" s="11"/>
      <c r="BH10" s="10">
        <v>40000</v>
      </c>
      <c r="BI10" s="10">
        <v>23500</v>
      </c>
      <c r="BJ10" s="10"/>
      <c r="BK10" s="10">
        <v>2500</v>
      </c>
      <c r="BL10" s="10">
        <v>15000</v>
      </c>
      <c r="BM10" s="10">
        <v>10000</v>
      </c>
      <c r="BN10" s="19"/>
      <c r="BO10" s="20" t="s">
        <v>206</v>
      </c>
      <c r="BP10" s="10">
        <v>230400</v>
      </c>
      <c r="BQ10" s="11"/>
      <c r="BR10" s="29" t="s">
        <v>36</v>
      </c>
      <c r="BS10" s="71">
        <f>BS1+BS3+BS5-BS7+BS15+BS16</f>
        <v>5821280</v>
      </c>
      <c r="BU10" s="9"/>
      <c r="BV10" s="9"/>
      <c r="BW10" s="9"/>
      <c r="BX10" s="9"/>
      <c r="BY10" s="9"/>
      <c r="BZ10" s="9"/>
      <c r="CA10" s="9"/>
      <c r="CB10" s="9"/>
      <c r="CC10" s="11"/>
      <c r="CD10" s="10"/>
      <c r="CE10" s="10"/>
      <c r="CF10" s="10"/>
      <c r="CG10" s="10"/>
      <c r="CH10" s="10"/>
      <c r="CI10" s="10"/>
      <c r="CJ10" s="19"/>
      <c r="CK10" s="20"/>
      <c r="CL10" s="10"/>
      <c r="CM10" s="11"/>
      <c r="CN10" s="29" t="s">
        <v>36</v>
      </c>
      <c r="CO10" s="30">
        <f>CO1+CO3+CO5-CO7+CO15+CO16</f>
        <v>0</v>
      </c>
      <c r="CQ10" s="9"/>
      <c r="CR10" s="9"/>
      <c r="CS10" s="9"/>
      <c r="CT10" s="9"/>
      <c r="CU10" s="9"/>
      <c r="CV10" s="9"/>
      <c r="CW10" s="9"/>
      <c r="CX10" s="11"/>
      <c r="CY10" s="10"/>
      <c r="CZ10" s="10"/>
      <c r="DA10" s="10"/>
      <c r="DB10" s="10"/>
      <c r="DC10" s="19"/>
      <c r="DD10" s="20"/>
      <c r="DE10" s="10"/>
      <c r="DF10" s="11"/>
      <c r="DG10" s="29" t="s">
        <v>36</v>
      </c>
      <c r="DH10" s="30">
        <f>DH1+DH3+DH5-DH7+DH15+DH16</f>
        <v>0</v>
      </c>
      <c r="DJ10" s="42"/>
      <c r="DK10" s="58"/>
      <c r="DL10" s="59"/>
      <c r="DM10" s="60"/>
    </row>
    <row r="11" ht="15" customHeight="1" spans="1:117">
      <c r="A11" s="9">
        <v>8000</v>
      </c>
      <c r="B11" s="9">
        <v>5500</v>
      </c>
      <c r="C11" s="9">
        <v>3000</v>
      </c>
      <c r="D11" s="9">
        <v>15000</v>
      </c>
      <c r="E11" s="9">
        <v>1000</v>
      </c>
      <c r="F11" s="9">
        <v>1500</v>
      </c>
      <c r="G11" s="9">
        <v>2000</v>
      </c>
      <c r="H11" s="9">
        <v>6000</v>
      </c>
      <c r="I11" s="11"/>
      <c r="J11" s="68">
        <v>11000</v>
      </c>
      <c r="K11" s="68">
        <v>8000</v>
      </c>
      <c r="L11" s="68">
        <v>13000</v>
      </c>
      <c r="M11" s="68">
        <v>21710</v>
      </c>
      <c r="N11" s="68">
        <v>5000</v>
      </c>
      <c r="O11" s="68">
        <v>12100</v>
      </c>
      <c r="P11" s="68">
        <v>11000</v>
      </c>
      <c r="Q11" s="19"/>
      <c r="R11" s="20" t="s">
        <v>207</v>
      </c>
      <c r="S11" s="10">
        <v>130000</v>
      </c>
      <c r="T11" s="11"/>
      <c r="U11" s="29" t="s">
        <v>40</v>
      </c>
      <c r="V11" s="71">
        <f>V9/7</f>
        <v>1267802.85714286</v>
      </c>
      <c r="W11" s="24"/>
      <c r="X11" s="9">
        <v>10000</v>
      </c>
      <c r="Y11" s="9">
        <v>1500</v>
      </c>
      <c r="Z11" s="9">
        <v>50000</v>
      </c>
      <c r="AA11" s="9">
        <v>3000</v>
      </c>
      <c r="AB11" s="9">
        <v>2000</v>
      </c>
      <c r="AC11" s="9">
        <v>1800</v>
      </c>
      <c r="AD11" s="9">
        <v>2300</v>
      </c>
      <c r="AE11" s="9">
        <v>1000</v>
      </c>
      <c r="AF11" s="9"/>
      <c r="AG11" s="11"/>
      <c r="AH11" s="68">
        <v>6000</v>
      </c>
      <c r="AI11" s="68">
        <v>22000</v>
      </c>
      <c r="AJ11" s="68">
        <v>3470</v>
      </c>
      <c r="AK11" s="68">
        <v>8500</v>
      </c>
      <c r="AL11" s="68">
        <v>3500</v>
      </c>
      <c r="AM11" s="68">
        <v>5700</v>
      </c>
      <c r="AN11" s="68">
        <v>4500</v>
      </c>
      <c r="AO11" s="68">
        <v>3500</v>
      </c>
      <c r="AP11" s="68">
        <v>33500</v>
      </c>
      <c r="AQ11" s="19"/>
      <c r="AR11" s="20" t="s">
        <v>42</v>
      </c>
      <c r="AS11" s="10">
        <v>82000</v>
      </c>
      <c r="AT11" s="11"/>
      <c r="AU11" s="29" t="s">
        <v>40</v>
      </c>
      <c r="AV11" s="71">
        <f>AV9/7</f>
        <v>863094.285714286</v>
      </c>
      <c r="AX11" s="9">
        <v>110000</v>
      </c>
      <c r="AY11" s="9">
        <v>24000</v>
      </c>
      <c r="AZ11" s="9">
        <v>2800</v>
      </c>
      <c r="BA11" s="9">
        <v>6600</v>
      </c>
      <c r="BB11" s="9">
        <v>2400</v>
      </c>
      <c r="BC11" s="9">
        <v>1500</v>
      </c>
      <c r="BD11" s="9">
        <v>900</v>
      </c>
      <c r="BE11" s="9">
        <v>4500</v>
      </c>
      <c r="BF11" s="9"/>
      <c r="BG11" s="11"/>
      <c r="BH11" s="10">
        <v>20000</v>
      </c>
      <c r="BI11" s="10">
        <v>16330</v>
      </c>
      <c r="BJ11" s="10"/>
      <c r="BK11" s="10">
        <v>1500</v>
      </c>
      <c r="BL11" s="10">
        <v>1000</v>
      </c>
      <c r="BM11" s="10">
        <v>2800</v>
      </c>
      <c r="BN11" s="19"/>
      <c r="BO11" s="20" t="s">
        <v>31</v>
      </c>
      <c r="BP11" s="10">
        <v>24200</v>
      </c>
      <c r="BQ11" s="11"/>
      <c r="BR11" s="29" t="s">
        <v>40</v>
      </c>
      <c r="BS11" s="71">
        <f>BS9/7</f>
        <v>874477.142857143</v>
      </c>
      <c r="BU11" s="9"/>
      <c r="BV11" s="9"/>
      <c r="BW11" s="9"/>
      <c r="BX11" s="9"/>
      <c r="BY11" s="9"/>
      <c r="BZ11" s="9"/>
      <c r="CA11" s="9"/>
      <c r="CB11" s="9"/>
      <c r="CC11" s="11"/>
      <c r="CD11" s="10"/>
      <c r="CE11" s="10"/>
      <c r="CF11" s="10"/>
      <c r="CG11" s="10"/>
      <c r="CH11" s="10"/>
      <c r="CI11" s="10"/>
      <c r="CJ11" s="19"/>
      <c r="CK11" s="20"/>
      <c r="CL11" s="10"/>
      <c r="CM11" s="11"/>
      <c r="CN11" s="29" t="s">
        <v>40</v>
      </c>
      <c r="CO11" s="30">
        <f>CO9/7</f>
        <v>0</v>
      </c>
      <c r="CQ11" s="9"/>
      <c r="CR11" s="9"/>
      <c r="CS11" s="9"/>
      <c r="CT11" s="9"/>
      <c r="CU11" s="9"/>
      <c r="CV11" s="9"/>
      <c r="CW11" s="9"/>
      <c r="CX11" s="11"/>
      <c r="CY11" s="10"/>
      <c r="CZ11" s="10"/>
      <c r="DA11" s="10"/>
      <c r="DB11" s="10"/>
      <c r="DC11" s="19"/>
      <c r="DD11" s="20"/>
      <c r="DE11" s="10"/>
      <c r="DF11" s="11"/>
      <c r="DG11" s="29" t="s">
        <v>40</v>
      </c>
      <c r="DH11" s="30">
        <f>DH9/7</f>
        <v>0</v>
      </c>
      <c r="DJ11" s="43" t="s">
        <v>36</v>
      </c>
      <c r="DK11" s="61"/>
      <c r="DL11" s="62">
        <f>DL9-DL7</f>
        <v>7145400</v>
      </c>
      <c r="DM11" s="63"/>
    </row>
    <row r="12" ht="15" customHeight="1" spans="1:117">
      <c r="A12" s="9">
        <v>1000</v>
      </c>
      <c r="B12" s="9">
        <v>20000</v>
      </c>
      <c r="C12" s="9">
        <v>4000</v>
      </c>
      <c r="D12" s="9">
        <v>500</v>
      </c>
      <c r="E12" s="9">
        <v>800</v>
      </c>
      <c r="F12" s="9">
        <v>2000</v>
      </c>
      <c r="G12" s="9">
        <v>7000</v>
      </c>
      <c r="H12" s="9">
        <v>1000</v>
      </c>
      <c r="I12" s="11"/>
      <c r="J12" s="68">
        <v>3360</v>
      </c>
      <c r="K12" s="68">
        <v>28600</v>
      </c>
      <c r="L12" s="68">
        <v>40000</v>
      </c>
      <c r="M12" s="68">
        <v>11530</v>
      </c>
      <c r="N12" s="68">
        <v>2400</v>
      </c>
      <c r="O12" s="68">
        <v>32500</v>
      </c>
      <c r="P12" s="68">
        <v>9000</v>
      </c>
      <c r="Q12" s="19"/>
      <c r="R12" s="20" t="s">
        <v>208</v>
      </c>
      <c r="S12" s="10">
        <v>100000</v>
      </c>
      <c r="T12" s="11"/>
      <c r="U12" s="34"/>
      <c r="V12" s="34">
        <v>220000</v>
      </c>
      <c r="W12" s="24"/>
      <c r="X12" s="9">
        <v>33000</v>
      </c>
      <c r="Y12" s="9">
        <v>3500</v>
      </c>
      <c r="Z12" s="9">
        <v>5500</v>
      </c>
      <c r="AA12" s="9">
        <v>10000</v>
      </c>
      <c r="AB12" s="9">
        <v>4500</v>
      </c>
      <c r="AC12" s="9">
        <v>5000</v>
      </c>
      <c r="AD12" s="9">
        <v>5500</v>
      </c>
      <c r="AE12" s="9">
        <v>3000</v>
      </c>
      <c r="AF12" s="9"/>
      <c r="AG12" s="11"/>
      <c r="AH12" s="68">
        <v>21000</v>
      </c>
      <c r="AI12" s="68">
        <v>4500</v>
      </c>
      <c r="AJ12" s="68">
        <v>8590</v>
      </c>
      <c r="AK12" s="68">
        <v>12000</v>
      </c>
      <c r="AL12" s="68">
        <v>1000</v>
      </c>
      <c r="AM12" s="68">
        <v>7500</v>
      </c>
      <c r="AN12" s="68">
        <v>22500</v>
      </c>
      <c r="AO12" s="68">
        <v>3500</v>
      </c>
      <c r="AP12" s="68">
        <v>7000</v>
      </c>
      <c r="AQ12" s="19"/>
      <c r="AR12" s="20" t="s">
        <v>5</v>
      </c>
      <c r="AS12" s="10">
        <v>336990</v>
      </c>
      <c r="AT12" s="11"/>
      <c r="AU12" s="72">
        <v>336990</v>
      </c>
      <c r="AV12" s="72">
        <v>42000</v>
      </c>
      <c r="AX12" s="9">
        <v>11500</v>
      </c>
      <c r="AY12" s="9">
        <v>8000</v>
      </c>
      <c r="AZ12" s="9">
        <v>8000</v>
      </c>
      <c r="BA12" s="9">
        <v>1500</v>
      </c>
      <c r="BB12" s="9">
        <v>6000</v>
      </c>
      <c r="BC12" s="9">
        <v>15000</v>
      </c>
      <c r="BD12" s="9">
        <v>4500</v>
      </c>
      <c r="BE12" s="9">
        <v>6000</v>
      </c>
      <c r="BF12" s="9"/>
      <c r="BG12" s="11"/>
      <c r="BH12" s="10">
        <v>14000</v>
      </c>
      <c r="BI12" s="10">
        <v>51880</v>
      </c>
      <c r="BJ12" s="10"/>
      <c r="BK12" s="10">
        <v>7500</v>
      </c>
      <c r="BL12" s="10">
        <v>1500</v>
      </c>
      <c r="BM12" s="10">
        <v>1200</v>
      </c>
      <c r="BN12" s="19"/>
      <c r="BO12" s="20"/>
      <c r="BP12" s="10"/>
      <c r="BQ12" s="11"/>
      <c r="BR12" s="24"/>
      <c r="BS12" s="72">
        <v>100000</v>
      </c>
      <c r="BU12" s="9"/>
      <c r="BV12" s="9"/>
      <c r="BW12" s="9"/>
      <c r="BX12" s="9"/>
      <c r="BY12" s="9"/>
      <c r="BZ12" s="9"/>
      <c r="CA12" s="9"/>
      <c r="CB12" s="9"/>
      <c r="CC12" s="11"/>
      <c r="CD12" s="10"/>
      <c r="CE12" s="10"/>
      <c r="CF12" s="10"/>
      <c r="CG12" s="10"/>
      <c r="CH12" s="10"/>
      <c r="CI12" s="10"/>
      <c r="CJ12" s="19"/>
      <c r="CK12" s="20"/>
      <c r="CL12" s="10"/>
      <c r="CM12" s="11"/>
      <c r="CN12" s="24"/>
      <c r="CO12" s="24"/>
      <c r="CP12" s="24"/>
      <c r="CQ12" s="9"/>
      <c r="CR12" s="9"/>
      <c r="CS12" s="9"/>
      <c r="CT12" s="9"/>
      <c r="CU12" s="9"/>
      <c r="CV12" s="9"/>
      <c r="CW12" s="9"/>
      <c r="CX12" s="11"/>
      <c r="CY12" s="10"/>
      <c r="CZ12" s="10"/>
      <c r="DA12" s="10"/>
      <c r="DB12" s="10"/>
      <c r="DC12" s="19"/>
      <c r="DD12" s="20"/>
      <c r="DE12" s="10"/>
      <c r="DF12" s="11"/>
      <c r="DG12" s="24"/>
      <c r="DH12" s="24"/>
      <c r="DJ12" s="44"/>
      <c r="DK12" s="64"/>
      <c r="DL12" s="65"/>
      <c r="DM12" s="66"/>
    </row>
    <row r="13" spans="1:112">
      <c r="A13" s="9">
        <v>6600</v>
      </c>
      <c r="B13" s="9">
        <v>10000</v>
      </c>
      <c r="C13" s="9">
        <v>12000</v>
      </c>
      <c r="D13" s="9">
        <v>3000</v>
      </c>
      <c r="E13" s="9">
        <v>10000</v>
      </c>
      <c r="F13" s="9">
        <v>16000</v>
      </c>
      <c r="G13" s="9">
        <v>7000</v>
      </c>
      <c r="H13" s="9">
        <v>5000</v>
      </c>
      <c r="I13" s="11"/>
      <c r="J13" s="68">
        <v>7000</v>
      </c>
      <c r="K13" s="68">
        <v>2880</v>
      </c>
      <c r="L13" s="68">
        <v>29000</v>
      </c>
      <c r="M13" s="68">
        <v>18290</v>
      </c>
      <c r="N13" s="68">
        <v>10000</v>
      </c>
      <c r="O13" s="68">
        <v>4500</v>
      </c>
      <c r="P13" s="68">
        <v>19000</v>
      </c>
      <c r="Q13" s="19"/>
      <c r="R13" s="20" t="s">
        <v>209</v>
      </c>
      <c r="S13" s="10">
        <v>193500</v>
      </c>
      <c r="T13" s="11"/>
      <c r="U13" s="34">
        <v>200000</v>
      </c>
      <c r="V13" s="34">
        <v>410000</v>
      </c>
      <c r="W13" s="24"/>
      <c r="X13" s="9">
        <v>6500</v>
      </c>
      <c r="Y13" s="9">
        <v>2400</v>
      </c>
      <c r="Z13" s="9">
        <v>5000</v>
      </c>
      <c r="AA13" s="9">
        <v>18000</v>
      </c>
      <c r="AB13" s="9">
        <v>8000</v>
      </c>
      <c r="AC13" s="9">
        <v>1500</v>
      </c>
      <c r="AD13" s="9">
        <v>20000</v>
      </c>
      <c r="AE13" s="9">
        <v>1000</v>
      </c>
      <c r="AF13" s="9"/>
      <c r="AG13" s="11"/>
      <c r="AH13" s="68">
        <v>1730</v>
      </c>
      <c r="AI13" s="68">
        <v>57200</v>
      </c>
      <c r="AJ13" s="68">
        <v>32660</v>
      </c>
      <c r="AK13" s="68">
        <v>6000</v>
      </c>
      <c r="AL13" s="68">
        <v>3500</v>
      </c>
      <c r="AM13" s="68">
        <v>4500</v>
      </c>
      <c r="AN13" s="68">
        <v>3000</v>
      </c>
      <c r="AO13" s="68">
        <v>10000</v>
      </c>
      <c r="AP13" s="68">
        <v>11000</v>
      </c>
      <c r="AQ13" s="19"/>
      <c r="AR13" s="20" t="s">
        <v>28</v>
      </c>
      <c r="AS13" s="10">
        <v>500000</v>
      </c>
      <c r="AT13" s="11"/>
      <c r="AU13" s="73">
        <v>93000</v>
      </c>
      <c r="AV13" s="72">
        <v>648270</v>
      </c>
      <c r="AW13" s="72"/>
      <c r="AX13" s="9">
        <v>7500</v>
      </c>
      <c r="AY13" s="9">
        <v>7500</v>
      </c>
      <c r="AZ13" s="9">
        <v>600</v>
      </c>
      <c r="BA13" s="9">
        <v>3000</v>
      </c>
      <c r="BB13" s="9">
        <v>89000</v>
      </c>
      <c r="BC13" s="9">
        <v>2000</v>
      </c>
      <c r="BD13" s="9">
        <v>20500</v>
      </c>
      <c r="BE13" s="9">
        <v>1500</v>
      </c>
      <c r="BF13" s="9"/>
      <c r="BG13" s="11"/>
      <c r="BH13" s="10">
        <v>12220</v>
      </c>
      <c r="BI13" s="10">
        <v>14000</v>
      </c>
      <c r="BJ13" s="10"/>
      <c r="BK13" s="10">
        <v>8000</v>
      </c>
      <c r="BL13" s="10">
        <v>57500</v>
      </c>
      <c r="BM13" s="10">
        <v>10000</v>
      </c>
      <c r="BN13" s="19"/>
      <c r="BO13" s="20"/>
      <c r="BP13" s="10"/>
      <c r="BQ13" s="11"/>
      <c r="BR13" s="24"/>
      <c r="BS13" s="72">
        <v>10000</v>
      </c>
      <c r="BU13" s="9"/>
      <c r="BV13" s="9"/>
      <c r="BW13" s="9"/>
      <c r="BX13" s="9"/>
      <c r="BY13" s="9"/>
      <c r="BZ13" s="9"/>
      <c r="CA13" s="9"/>
      <c r="CB13" s="9"/>
      <c r="CC13" s="11"/>
      <c r="CD13" s="10"/>
      <c r="CE13" s="10"/>
      <c r="CF13" s="10"/>
      <c r="CG13" s="10"/>
      <c r="CH13" s="10"/>
      <c r="CI13" s="10"/>
      <c r="CJ13" s="19"/>
      <c r="CK13" s="20"/>
      <c r="CL13" s="10"/>
      <c r="CM13" s="11"/>
      <c r="CN13" s="24"/>
      <c r="CO13" s="31"/>
      <c r="CP13" s="31"/>
      <c r="CQ13" s="9"/>
      <c r="CR13" s="9"/>
      <c r="CS13" s="9"/>
      <c r="CT13" s="9"/>
      <c r="CU13" s="9"/>
      <c r="CV13" s="9"/>
      <c r="CW13" s="9"/>
      <c r="CX13" s="11"/>
      <c r="CY13" s="10"/>
      <c r="CZ13" s="10"/>
      <c r="DA13" s="10"/>
      <c r="DB13" s="10"/>
      <c r="DC13" s="19"/>
      <c r="DD13" s="20"/>
      <c r="DE13" s="10"/>
      <c r="DF13" s="11"/>
      <c r="DG13" s="24"/>
      <c r="DH13" s="31"/>
    </row>
    <row r="14" spans="1:112">
      <c r="A14" s="9">
        <v>12000</v>
      </c>
      <c r="B14" s="9">
        <v>6000</v>
      </c>
      <c r="C14" s="9">
        <v>29000</v>
      </c>
      <c r="D14" s="9">
        <v>2000</v>
      </c>
      <c r="E14" s="9">
        <v>16000</v>
      </c>
      <c r="F14" s="9">
        <v>2000</v>
      </c>
      <c r="G14" s="9">
        <v>7000</v>
      </c>
      <c r="H14" s="9"/>
      <c r="I14" s="11"/>
      <c r="J14" s="68">
        <v>18000</v>
      </c>
      <c r="K14" s="68">
        <v>5000</v>
      </c>
      <c r="L14" s="68">
        <v>4800</v>
      </c>
      <c r="M14" s="68">
        <v>1000</v>
      </c>
      <c r="N14" s="68">
        <v>4500</v>
      </c>
      <c r="O14" s="68">
        <v>20000</v>
      </c>
      <c r="P14" s="68">
        <v>4500</v>
      </c>
      <c r="Q14" s="19"/>
      <c r="R14" s="20" t="s">
        <v>106</v>
      </c>
      <c r="S14" s="10">
        <v>220000</v>
      </c>
      <c r="T14" s="11"/>
      <c r="U14" s="34">
        <v>32000</v>
      </c>
      <c r="V14" s="34">
        <v>1000340</v>
      </c>
      <c r="W14" s="24"/>
      <c r="X14" s="9">
        <v>5000</v>
      </c>
      <c r="Y14" s="9">
        <v>5000</v>
      </c>
      <c r="Z14" s="9">
        <v>6000</v>
      </c>
      <c r="AA14" s="9">
        <v>1500</v>
      </c>
      <c r="AB14" s="9">
        <v>4500</v>
      </c>
      <c r="AC14" s="9">
        <v>2000</v>
      </c>
      <c r="AD14" s="9">
        <v>2000</v>
      </c>
      <c r="AE14" s="9">
        <v>9000</v>
      </c>
      <c r="AF14" s="9"/>
      <c r="AG14" s="11"/>
      <c r="AH14" s="68">
        <v>9070</v>
      </c>
      <c r="AI14" s="68">
        <v>36800</v>
      </c>
      <c r="AJ14" s="68">
        <v>7690</v>
      </c>
      <c r="AK14" s="68">
        <v>6100</v>
      </c>
      <c r="AL14" s="10"/>
      <c r="AM14" s="68">
        <v>34800</v>
      </c>
      <c r="AN14" s="68">
        <v>6500</v>
      </c>
      <c r="AO14" s="68">
        <v>3500</v>
      </c>
      <c r="AP14" s="68">
        <v>17000</v>
      </c>
      <c r="AQ14" s="19"/>
      <c r="AR14" s="20" t="s">
        <v>210</v>
      </c>
      <c r="AS14" s="10">
        <v>47000</v>
      </c>
      <c r="AT14" s="11"/>
      <c r="AU14" s="72">
        <v>129000</v>
      </c>
      <c r="AV14" s="72">
        <v>276490</v>
      </c>
      <c r="AX14" s="9">
        <v>2000</v>
      </c>
      <c r="AY14" s="9">
        <v>6500</v>
      </c>
      <c r="AZ14" s="9">
        <v>10700</v>
      </c>
      <c r="BA14" s="9">
        <v>5000</v>
      </c>
      <c r="BB14" s="9">
        <v>8000</v>
      </c>
      <c r="BC14" s="9">
        <v>6500</v>
      </c>
      <c r="BD14" s="9">
        <v>1600</v>
      </c>
      <c r="BE14" s="9">
        <v>6500</v>
      </c>
      <c r="BF14" s="9"/>
      <c r="BG14" s="11"/>
      <c r="BH14" s="10">
        <v>3000</v>
      </c>
      <c r="BI14" s="10">
        <v>8000</v>
      </c>
      <c r="BJ14" s="10"/>
      <c r="BK14" s="10">
        <v>29000</v>
      </c>
      <c r="BL14" s="10">
        <v>42000</v>
      </c>
      <c r="BM14" s="10">
        <v>1600</v>
      </c>
      <c r="BN14" s="19"/>
      <c r="BO14" s="20"/>
      <c r="BP14" s="10"/>
      <c r="BQ14" s="11"/>
      <c r="BR14" s="24"/>
      <c r="BS14" s="72">
        <v>10000</v>
      </c>
      <c r="BU14" s="9"/>
      <c r="BV14" s="9"/>
      <c r="BW14" s="9"/>
      <c r="BX14" s="9"/>
      <c r="BY14" s="9"/>
      <c r="BZ14" s="9"/>
      <c r="CA14" s="9"/>
      <c r="CB14" s="9"/>
      <c r="CC14" s="11"/>
      <c r="CD14" s="10"/>
      <c r="CE14" s="10"/>
      <c r="CF14" s="10"/>
      <c r="CG14" s="10"/>
      <c r="CH14" s="10"/>
      <c r="CI14" s="10"/>
      <c r="CJ14" s="19"/>
      <c r="CK14" s="20"/>
      <c r="CL14" s="10"/>
      <c r="CM14" s="11"/>
      <c r="CN14" s="24"/>
      <c r="CO14" s="24"/>
      <c r="CP14" s="24"/>
      <c r="CQ14" s="9"/>
      <c r="CR14" s="9"/>
      <c r="CS14" s="9"/>
      <c r="CT14" s="9"/>
      <c r="CU14" s="9"/>
      <c r="CV14" s="9"/>
      <c r="CW14" s="9"/>
      <c r="CX14" s="11"/>
      <c r="CY14" s="10"/>
      <c r="CZ14" s="10"/>
      <c r="DA14" s="10"/>
      <c r="DB14" s="10"/>
      <c r="DC14" s="19"/>
      <c r="DD14" s="20"/>
      <c r="DE14" s="10"/>
      <c r="DF14" s="11"/>
      <c r="DG14" s="24"/>
      <c r="DH14" s="24"/>
    </row>
    <row r="15" ht="15.75" customHeight="1" spans="1:112">
      <c r="A15" s="9">
        <v>8000</v>
      </c>
      <c r="B15" s="9">
        <v>1000</v>
      </c>
      <c r="C15" s="9">
        <v>1600</v>
      </c>
      <c r="D15" s="9">
        <v>108000</v>
      </c>
      <c r="E15" s="9">
        <v>3000</v>
      </c>
      <c r="F15" s="9">
        <v>500</v>
      </c>
      <c r="G15" s="9">
        <v>13000</v>
      </c>
      <c r="H15" s="9"/>
      <c r="I15" s="11"/>
      <c r="J15" s="68">
        <v>3000</v>
      </c>
      <c r="K15" s="68">
        <v>6250</v>
      </c>
      <c r="L15" s="68">
        <v>7110</v>
      </c>
      <c r="M15" s="68">
        <v>10470</v>
      </c>
      <c r="N15" s="68">
        <v>5100</v>
      </c>
      <c r="O15" s="68">
        <v>15600</v>
      </c>
      <c r="P15" s="68">
        <v>10000</v>
      </c>
      <c r="Q15" s="19"/>
      <c r="R15" s="20" t="s">
        <v>173</v>
      </c>
      <c r="S15" s="10">
        <v>32000</v>
      </c>
      <c r="T15" s="11"/>
      <c r="U15" s="32" t="s">
        <v>50</v>
      </c>
      <c r="V15" s="33"/>
      <c r="W15" s="24"/>
      <c r="X15" s="9">
        <v>2500</v>
      </c>
      <c r="Y15" s="9">
        <v>2500</v>
      </c>
      <c r="Z15" s="9">
        <v>4000</v>
      </c>
      <c r="AA15" s="9">
        <v>5000</v>
      </c>
      <c r="AB15" s="9">
        <v>3000</v>
      </c>
      <c r="AC15" s="9">
        <v>11000</v>
      </c>
      <c r="AD15" s="9">
        <v>3500</v>
      </c>
      <c r="AE15" s="9">
        <v>10000</v>
      </c>
      <c r="AF15" s="9"/>
      <c r="AG15" s="11"/>
      <c r="AH15" s="68">
        <v>2380</v>
      </c>
      <c r="AI15" s="68">
        <v>3500</v>
      </c>
      <c r="AJ15" s="68">
        <v>16000</v>
      </c>
      <c r="AK15" s="68">
        <v>3000</v>
      </c>
      <c r="AL15" s="10"/>
      <c r="AM15" s="68">
        <v>16000</v>
      </c>
      <c r="AN15" s="68">
        <v>1500</v>
      </c>
      <c r="AO15" s="68">
        <v>6500</v>
      </c>
      <c r="AP15" s="68">
        <v>1500</v>
      </c>
      <c r="AQ15" s="19"/>
      <c r="AR15" s="20" t="s">
        <v>34</v>
      </c>
      <c r="AS15" s="10">
        <v>94000</v>
      </c>
      <c r="AT15" s="11"/>
      <c r="AU15" s="32" t="s">
        <v>50</v>
      </c>
      <c r="AV15" s="33"/>
      <c r="AX15" s="9">
        <v>26500</v>
      </c>
      <c r="AY15" s="9">
        <v>6000</v>
      </c>
      <c r="AZ15" s="9">
        <v>2500</v>
      </c>
      <c r="BA15" s="9">
        <v>99000</v>
      </c>
      <c r="BB15" s="9">
        <v>4500</v>
      </c>
      <c r="BC15" s="9">
        <v>30000</v>
      </c>
      <c r="BD15" s="9">
        <v>1000</v>
      </c>
      <c r="BE15" s="9">
        <v>3500</v>
      </c>
      <c r="BF15" s="9"/>
      <c r="BG15" s="11"/>
      <c r="BH15" s="10">
        <v>4300</v>
      </c>
      <c r="BI15" s="10">
        <v>1000</v>
      </c>
      <c r="BJ15" s="10"/>
      <c r="BK15" s="10">
        <v>1500</v>
      </c>
      <c r="BL15" s="10">
        <v>14000</v>
      </c>
      <c r="BM15" s="10">
        <v>4000</v>
      </c>
      <c r="BN15" s="19"/>
      <c r="BO15" s="20"/>
      <c r="BP15" s="10"/>
      <c r="BQ15" s="11"/>
      <c r="BR15" s="32" t="s">
        <v>50</v>
      </c>
      <c r="BS15" s="33">
        <v>376110</v>
      </c>
      <c r="BU15" s="9"/>
      <c r="BV15" s="9"/>
      <c r="BW15" s="9"/>
      <c r="BX15" s="9"/>
      <c r="BY15" s="9"/>
      <c r="BZ15" s="9"/>
      <c r="CA15" s="9"/>
      <c r="CB15" s="9"/>
      <c r="CC15" s="11"/>
      <c r="CD15" s="10"/>
      <c r="CE15" s="10"/>
      <c r="CF15" s="10"/>
      <c r="CG15" s="10"/>
      <c r="CH15" s="10"/>
      <c r="CI15" s="10"/>
      <c r="CJ15" s="19"/>
      <c r="CK15" s="20"/>
      <c r="CL15" s="10"/>
      <c r="CM15" s="11"/>
      <c r="CN15" s="32" t="s">
        <v>50</v>
      </c>
      <c r="CO15" s="33"/>
      <c r="CP15" s="24"/>
      <c r="CQ15" s="9"/>
      <c r="CR15" s="9"/>
      <c r="CS15" s="9"/>
      <c r="CT15" s="9"/>
      <c r="CU15" s="9"/>
      <c r="CV15" s="9"/>
      <c r="CW15" s="9"/>
      <c r="CX15" s="11"/>
      <c r="CY15" s="10"/>
      <c r="CZ15" s="10"/>
      <c r="DA15" s="10"/>
      <c r="DB15" s="10"/>
      <c r="DC15" s="19"/>
      <c r="DD15" s="20"/>
      <c r="DE15" s="10"/>
      <c r="DF15" s="11"/>
      <c r="DG15" s="32" t="s">
        <v>50</v>
      </c>
      <c r="DH15" s="33"/>
    </row>
    <row r="16" ht="15" customHeight="1" spans="1:112">
      <c r="A16" s="9">
        <v>2500</v>
      </c>
      <c r="B16" s="9">
        <v>17000</v>
      </c>
      <c r="C16" s="9">
        <v>11500</v>
      </c>
      <c r="D16" s="9">
        <v>4500</v>
      </c>
      <c r="E16" s="9">
        <v>23000</v>
      </c>
      <c r="F16" s="9">
        <v>1500</v>
      </c>
      <c r="G16" s="9">
        <v>2400</v>
      </c>
      <c r="H16" s="9"/>
      <c r="I16" s="11"/>
      <c r="J16" s="68">
        <v>18730</v>
      </c>
      <c r="K16" s="68">
        <v>41760</v>
      </c>
      <c r="L16" s="68">
        <v>11530</v>
      </c>
      <c r="M16" s="68">
        <v>4000</v>
      </c>
      <c r="N16" s="68">
        <v>3000</v>
      </c>
      <c r="O16" s="68">
        <v>24000</v>
      </c>
      <c r="P16" s="68">
        <v>5000</v>
      </c>
      <c r="Q16" s="21"/>
      <c r="R16" s="20" t="s">
        <v>129</v>
      </c>
      <c r="S16" s="10">
        <v>666185</v>
      </c>
      <c r="T16" s="11"/>
      <c r="U16" s="32" t="s">
        <v>53</v>
      </c>
      <c r="V16" s="33">
        <v>80000</v>
      </c>
      <c r="W16" s="24"/>
      <c r="X16" s="9">
        <v>1000</v>
      </c>
      <c r="Y16" s="9">
        <v>13000</v>
      </c>
      <c r="Z16" s="9">
        <v>11000</v>
      </c>
      <c r="AA16" s="9">
        <v>5500</v>
      </c>
      <c r="AB16" s="9">
        <v>5500</v>
      </c>
      <c r="AC16" s="9">
        <v>3600</v>
      </c>
      <c r="AD16" s="9">
        <v>2000</v>
      </c>
      <c r="AE16" s="9">
        <v>9000</v>
      </c>
      <c r="AF16" s="9"/>
      <c r="AG16" s="11"/>
      <c r="AH16" s="68">
        <v>3500</v>
      </c>
      <c r="AI16" s="68">
        <v>6000</v>
      </c>
      <c r="AJ16" s="68">
        <v>59450</v>
      </c>
      <c r="AK16" s="68">
        <v>3360</v>
      </c>
      <c r="AL16" s="10"/>
      <c r="AM16" s="10"/>
      <c r="AN16" s="68">
        <v>33000</v>
      </c>
      <c r="AO16" s="68">
        <v>70000</v>
      </c>
      <c r="AP16" s="68">
        <v>170000</v>
      </c>
      <c r="AQ16" s="21"/>
      <c r="AR16" s="20" t="s">
        <v>151</v>
      </c>
      <c r="AS16" s="10">
        <v>50500</v>
      </c>
      <c r="AT16" s="11"/>
      <c r="AU16" s="32" t="s">
        <v>53</v>
      </c>
      <c r="AV16" s="33">
        <v>1144590</v>
      </c>
      <c r="AX16" s="9">
        <v>12000</v>
      </c>
      <c r="AY16" s="9">
        <v>500</v>
      </c>
      <c r="AZ16" s="9">
        <v>42000</v>
      </c>
      <c r="BA16" s="9">
        <v>25000</v>
      </c>
      <c r="BB16" s="9">
        <v>2500</v>
      </c>
      <c r="BC16" s="9">
        <v>20000</v>
      </c>
      <c r="BD16" s="9">
        <v>5000</v>
      </c>
      <c r="BE16" s="9">
        <v>29000</v>
      </c>
      <c r="BF16" s="9"/>
      <c r="BG16" s="11"/>
      <c r="BH16" s="10">
        <v>2390</v>
      </c>
      <c r="BI16" s="10">
        <v>4000</v>
      </c>
      <c r="BJ16" s="10"/>
      <c r="BK16" s="10">
        <v>5500</v>
      </c>
      <c r="BL16" s="10">
        <v>1300</v>
      </c>
      <c r="BM16" s="10">
        <v>26000</v>
      </c>
      <c r="BN16" s="21"/>
      <c r="BO16" s="20"/>
      <c r="BP16" s="10"/>
      <c r="BQ16" s="11"/>
      <c r="BR16" s="32" t="s">
        <v>53</v>
      </c>
      <c r="BS16" s="33">
        <v>653220</v>
      </c>
      <c r="BU16" s="9"/>
      <c r="BV16" s="9"/>
      <c r="BW16" s="9"/>
      <c r="BX16" s="9"/>
      <c r="BY16" s="9"/>
      <c r="BZ16" s="9"/>
      <c r="CA16" s="9"/>
      <c r="CB16" s="9"/>
      <c r="CC16" s="11"/>
      <c r="CD16" s="10"/>
      <c r="CE16" s="10"/>
      <c r="CF16" s="10"/>
      <c r="CG16" s="10"/>
      <c r="CH16" s="10"/>
      <c r="CI16" s="10"/>
      <c r="CJ16" s="21"/>
      <c r="CK16" s="20"/>
      <c r="CL16" s="10"/>
      <c r="CM16" s="11"/>
      <c r="CN16" s="32" t="s">
        <v>53</v>
      </c>
      <c r="CO16" s="33"/>
      <c r="CP16" s="31"/>
      <c r="CQ16" s="9"/>
      <c r="CR16" s="9"/>
      <c r="CS16" s="9"/>
      <c r="CT16" s="9"/>
      <c r="CU16" s="9"/>
      <c r="CV16" s="9"/>
      <c r="CW16" s="9"/>
      <c r="CX16" s="11"/>
      <c r="CY16" s="10"/>
      <c r="CZ16" s="10"/>
      <c r="DA16" s="10"/>
      <c r="DB16" s="10"/>
      <c r="DC16" s="21"/>
      <c r="DD16" s="20"/>
      <c r="DE16" s="10"/>
      <c r="DF16" s="11"/>
      <c r="DG16" s="32" t="s">
        <v>53</v>
      </c>
      <c r="DH16" s="33"/>
    </row>
    <row r="17" ht="15.75" customHeight="1" spans="1:112">
      <c r="A17" s="9">
        <v>8500</v>
      </c>
      <c r="B17" s="9">
        <v>6500</v>
      </c>
      <c r="C17" s="9">
        <v>3500</v>
      </c>
      <c r="D17" s="9">
        <v>11500</v>
      </c>
      <c r="E17" s="9">
        <v>15000</v>
      </c>
      <c r="F17" s="9">
        <v>4500</v>
      </c>
      <c r="G17" s="9">
        <v>2000</v>
      </c>
      <c r="H17" s="9"/>
      <c r="I17" s="11"/>
      <c r="J17" s="68">
        <v>4000</v>
      </c>
      <c r="K17" s="68">
        <v>1440</v>
      </c>
      <c r="L17" s="68">
        <v>8170</v>
      </c>
      <c r="M17" s="68">
        <v>5070</v>
      </c>
      <c r="N17" s="68">
        <v>9000</v>
      </c>
      <c r="O17" s="68">
        <v>33500</v>
      </c>
      <c r="P17" s="10"/>
      <c r="Q17" s="21"/>
      <c r="R17" s="20" t="s">
        <v>129</v>
      </c>
      <c r="S17" s="10">
        <v>200000</v>
      </c>
      <c r="T17" s="11"/>
      <c r="U17" s="34">
        <v>15000</v>
      </c>
      <c r="V17" s="34">
        <v>22100</v>
      </c>
      <c r="W17" s="24"/>
      <c r="X17" s="9">
        <v>1200</v>
      </c>
      <c r="Y17" s="9">
        <v>2000</v>
      </c>
      <c r="Z17" s="9">
        <v>400</v>
      </c>
      <c r="AA17" s="9">
        <v>2000</v>
      </c>
      <c r="AB17" s="9">
        <v>2000</v>
      </c>
      <c r="AC17" s="9">
        <v>10000</v>
      </c>
      <c r="AD17" s="9">
        <v>4500</v>
      </c>
      <c r="AE17" s="9">
        <v>47500</v>
      </c>
      <c r="AF17" s="9"/>
      <c r="AG17" s="11"/>
      <c r="AH17" s="68">
        <v>2500</v>
      </c>
      <c r="AI17" s="68">
        <v>8000</v>
      </c>
      <c r="AJ17" s="68">
        <v>23060</v>
      </c>
      <c r="AK17" s="68">
        <v>1500</v>
      </c>
      <c r="AL17" s="10"/>
      <c r="AM17" s="10"/>
      <c r="AN17" s="68">
        <v>6000</v>
      </c>
      <c r="AO17" s="68">
        <v>7500</v>
      </c>
      <c r="AP17" s="68">
        <v>10000</v>
      </c>
      <c r="AQ17" s="21"/>
      <c r="AR17" s="20" t="s">
        <v>115</v>
      </c>
      <c r="AS17" s="10">
        <v>515840</v>
      </c>
      <c r="AT17" s="11"/>
      <c r="AU17" s="72">
        <v>200000</v>
      </c>
      <c r="AV17" s="72">
        <v>48090</v>
      </c>
      <c r="AX17" s="9">
        <v>5000</v>
      </c>
      <c r="AY17" s="9">
        <v>4200</v>
      </c>
      <c r="AZ17" s="9">
        <v>25000</v>
      </c>
      <c r="BA17" s="9">
        <v>13500</v>
      </c>
      <c r="BB17" s="9">
        <v>38000</v>
      </c>
      <c r="BC17" s="9">
        <v>2000</v>
      </c>
      <c r="BD17" s="9">
        <v>32000</v>
      </c>
      <c r="BE17" s="9">
        <v>1000</v>
      </c>
      <c r="BF17" s="9"/>
      <c r="BG17" s="11"/>
      <c r="BH17" s="10">
        <v>8000</v>
      </c>
      <c r="BI17" s="10">
        <v>33900</v>
      </c>
      <c r="BJ17" s="10"/>
      <c r="BK17" s="10">
        <v>3500</v>
      </c>
      <c r="BL17" s="10">
        <v>2400</v>
      </c>
      <c r="BM17" s="10">
        <v>6000</v>
      </c>
      <c r="BN17" s="21"/>
      <c r="BO17" s="20"/>
      <c r="BP17" s="10"/>
      <c r="BQ17" s="11"/>
      <c r="BR17" s="72">
        <v>8300</v>
      </c>
      <c r="BS17" s="72">
        <v>10600</v>
      </c>
      <c r="BU17" s="9"/>
      <c r="BV17" s="9"/>
      <c r="BW17" s="9"/>
      <c r="BX17" s="9"/>
      <c r="BY17" s="9"/>
      <c r="BZ17" s="9"/>
      <c r="CA17" s="9"/>
      <c r="CB17" s="9"/>
      <c r="CC17" s="11"/>
      <c r="CD17" s="10"/>
      <c r="CE17" s="10"/>
      <c r="CF17" s="10"/>
      <c r="CG17" s="10"/>
      <c r="CH17" s="10"/>
      <c r="CI17" s="10"/>
      <c r="CJ17" s="21"/>
      <c r="CK17" s="20"/>
      <c r="CL17" s="10"/>
      <c r="CM17" s="11"/>
      <c r="CN17" s="24"/>
      <c r="CO17" s="31"/>
      <c r="CP17" s="31"/>
      <c r="CQ17" s="9"/>
      <c r="CR17" s="9"/>
      <c r="CS17" s="9"/>
      <c r="CT17" s="9"/>
      <c r="CU17" s="9"/>
      <c r="CV17" s="9"/>
      <c r="CW17" s="9"/>
      <c r="CX17" s="11"/>
      <c r="CY17" s="10"/>
      <c r="CZ17" s="10"/>
      <c r="DA17" s="10"/>
      <c r="DB17" s="10"/>
      <c r="DC17" s="21"/>
      <c r="DD17" s="20"/>
      <c r="DE17" s="10"/>
      <c r="DF17" s="11"/>
      <c r="DG17" s="24"/>
      <c r="DH17" s="31"/>
    </row>
    <row r="18" ht="15.75" customHeight="1" spans="1:110">
      <c r="A18" s="9">
        <v>3000</v>
      </c>
      <c r="B18" s="9">
        <v>1500</v>
      </c>
      <c r="C18" s="9">
        <v>4000</v>
      </c>
      <c r="D18" s="9">
        <v>28000</v>
      </c>
      <c r="E18" s="9">
        <v>14000</v>
      </c>
      <c r="F18" s="9">
        <v>7000</v>
      </c>
      <c r="G18" s="9">
        <v>1500</v>
      </c>
      <c r="H18" s="9"/>
      <c r="I18" s="11"/>
      <c r="J18" s="68">
        <v>2400</v>
      </c>
      <c r="K18" s="68">
        <v>8500</v>
      </c>
      <c r="L18" s="68">
        <v>2200</v>
      </c>
      <c r="M18" s="68">
        <v>7500</v>
      </c>
      <c r="N18" s="68">
        <v>91000</v>
      </c>
      <c r="O18" s="68">
        <v>19600</v>
      </c>
      <c r="P18" s="10"/>
      <c r="Q18" s="21"/>
      <c r="R18" s="20" t="s">
        <v>191</v>
      </c>
      <c r="S18" s="10">
        <v>40000</v>
      </c>
      <c r="T18" s="11"/>
      <c r="U18" s="34">
        <v>213100</v>
      </c>
      <c r="V18" s="34">
        <v>181165</v>
      </c>
      <c r="W18" s="24"/>
      <c r="X18" s="9">
        <v>1500</v>
      </c>
      <c r="Y18" s="9">
        <v>37500</v>
      </c>
      <c r="Z18" s="9">
        <v>7500</v>
      </c>
      <c r="AA18" s="9">
        <v>1000</v>
      </c>
      <c r="AB18" s="9">
        <v>41500</v>
      </c>
      <c r="AC18" s="9">
        <v>2700</v>
      </c>
      <c r="AD18" s="9">
        <v>18000</v>
      </c>
      <c r="AE18" s="9">
        <v>19100</v>
      </c>
      <c r="AF18" s="9"/>
      <c r="AG18" s="11"/>
      <c r="AH18" s="68">
        <v>3500</v>
      </c>
      <c r="AI18" s="68">
        <v>6600</v>
      </c>
      <c r="AJ18" s="68">
        <v>19500</v>
      </c>
      <c r="AK18" s="68">
        <v>53300</v>
      </c>
      <c r="AL18" s="10"/>
      <c r="AM18" s="10"/>
      <c r="AN18" s="68">
        <v>3500</v>
      </c>
      <c r="AO18" s="68">
        <v>17000</v>
      </c>
      <c r="AP18" s="68">
        <v>20900</v>
      </c>
      <c r="AQ18" s="21"/>
      <c r="AR18" s="20" t="s">
        <v>38</v>
      </c>
      <c r="AS18" s="10">
        <v>38500</v>
      </c>
      <c r="AT18" s="11"/>
      <c r="AU18" s="72">
        <v>97990</v>
      </c>
      <c r="AV18" s="72">
        <v>10600</v>
      </c>
      <c r="AX18" s="9">
        <v>3000</v>
      </c>
      <c r="AY18" s="9">
        <v>5000</v>
      </c>
      <c r="AZ18" s="9">
        <v>23000</v>
      </c>
      <c r="BA18" s="9">
        <v>300</v>
      </c>
      <c r="BB18" s="9">
        <v>7500</v>
      </c>
      <c r="BC18" s="9">
        <v>3000</v>
      </c>
      <c r="BD18" s="9">
        <v>28000</v>
      </c>
      <c r="BE18" s="9">
        <v>7500</v>
      </c>
      <c r="BF18" s="9"/>
      <c r="BG18" s="11"/>
      <c r="BH18" s="10">
        <v>12970</v>
      </c>
      <c r="BI18" s="10">
        <v>2400</v>
      </c>
      <c r="BJ18" s="10"/>
      <c r="BK18" s="10">
        <v>1300</v>
      </c>
      <c r="BL18" s="10">
        <v>32000</v>
      </c>
      <c r="BM18" s="10">
        <v>3500</v>
      </c>
      <c r="BN18" s="21"/>
      <c r="BO18" s="20"/>
      <c r="BP18" s="10"/>
      <c r="BQ18" s="11"/>
      <c r="BR18" s="72">
        <v>15000</v>
      </c>
      <c r="BS18" s="72">
        <v>251320</v>
      </c>
      <c r="BU18" s="9"/>
      <c r="BV18" s="9"/>
      <c r="BW18" s="9"/>
      <c r="BX18" s="9"/>
      <c r="BY18" s="9"/>
      <c r="BZ18" s="9"/>
      <c r="CA18" s="9"/>
      <c r="CB18" s="9"/>
      <c r="CC18" s="11"/>
      <c r="CD18" s="10"/>
      <c r="CE18" s="10"/>
      <c r="CF18" s="10"/>
      <c r="CG18" s="10"/>
      <c r="CH18" s="10"/>
      <c r="CI18" s="10"/>
      <c r="CJ18" s="21"/>
      <c r="CK18" s="20"/>
      <c r="CL18" s="10"/>
      <c r="CM18" s="11"/>
      <c r="CP18" s="24"/>
      <c r="CQ18" s="9"/>
      <c r="CR18" s="9"/>
      <c r="CS18" s="9"/>
      <c r="CT18" s="9"/>
      <c r="CU18" s="9"/>
      <c r="CV18" s="9"/>
      <c r="CW18" s="9"/>
      <c r="CX18" s="11"/>
      <c r="CY18" s="10"/>
      <c r="CZ18" s="10"/>
      <c r="DA18" s="10"/>
      <c r="DB18" s="10"/>
      <c r="DC18" s="21"/>
      <c r="DD18" s="20"/>
      <c r="DE18" s="10"/>
      <c r="DF18" s="11"/>
    </row>
    <row r="19" ht="15.75" customHeight="1" spans="1:112">
      <c r="A19" s="9">
        <v>7500</v>
      </c>
      <c r="B19" s="9">
        <v>5000</v>
      </c>
      <c r="C19" s="9">
        <v>6000</v>
      </c>
      <c r="D19" s="9">
        <v>2800</v>
      </c>
      <c r="E19" s="9">
        <v>2000</v>
      </c>
      <c r="F19" s="9">
        <v>33800</v>
      </c>
      <c r="G19" s="9">
        <v>6400</v>
      </c>
      <c r="H19" s="9"/>
      <c r="I19" s="11"/>
      <c r="J19" s="68">
        <v>23050</v>
      </c>
      <c r="K19" s="68">
        <v>2880</v>
      </c>
      <c r="L19" s="68">
        <v>10810</v>
      </c>
      <c r="M19" s="68">
        <v>17500</v>
      </c>
      <c r="N19" s="68">
        <v>10400</v>
      </c>
      <c r="O19" s="68">
        <v>68300</v>
      </c>
      <c r="P19" s="10"/>
      <c r="Q19" s="21"/>
      <c r="R19" s="20" t="s">
        <v>211</v>
      </c>
      <c r="S19" s="10">
        <v>46400</v>
      </c>
      <c r="T19" s="11"/>
      <c r="U19" s="34">
        <v>50000</v>
      </c>
      <c r="V19" s="34">
        <v>10600</v>
      </c>
      <c r="W19" s="24"/>
      <c r="X19" s="9">
        <v>2000</v>
      </c>
      <c r="Y19" s="9">
        <v>14000</v>
      </c>
      <c r="Z19" s="9">
        <v>4800</v>
      </c>
      <c r="AA19" s="9">
        <v>8300</v>
      </c>
      <c r="AB19" s="9">
        <v>3000</v>
      </c>
      <c r="AC19" s="9">
        <v>1000</v>
      </c>
      <c r="AD19" s="9">
        <v>4500</v>
      </c>
      <c r="AE19" s="9">
        <v>5000</v>
      </c>
      <c r="AF19" s="9"/>
      <c r="AG19" s="11"/>
      <c r="AH19" s="68">
        <v>26420</v>
      </c>
      <c r="AI19" s="68">
        <v>43000</v>
      </c>
      <c r="AJ19" s="68">
        <v>9610</v>
      </c>
      <c r="AK19" s="68">
        <v>16200</v>
      </c>
      <c r="AL19" s="10"/>
      <c r="AM19" s="10"/>
      <c r="AN19" s="68">
        <v>1000</v>
      </c>
      <c r="AO19" s="68">
        <v>1600</v>
      </c>
      <c r="AP19" s="68">
        <v>1000</v>
      </c>
      <c r="AQ19" s="21"/>
      <c r="AR19" s="20" t="s">
        <v>41</v>
      </c>
      <c r="AS19" s="10">
        <v>352500</v>
      </c>
      <c r="AT19" s="11"/>
      <c r="AU19" s="72">
        <v>15000</v>
      </c>
      <c r="AV19" s="72">
        <v>15000</v>
      </c>
      <c r="AX19" s="9">
        <v>4100</v>
      </c>
      <c r="AY19" s="9">
        <v>16000</v>
      </c>
      <c r="AZ19" s="9">
        <v>8700</v>
      </c>
      <c r="BA19" s="9">
        <v>1500</v>
      </c>
      <c r="BB19" s="9">
        <v>2500</v>
      </c>
      <c r="BC19" s="9">
        <v>13000</v>
      </c>
      <c r="BD19" s="9">
        <v>8000</v>
      </c>
      <c r="BE19" s="9">
        <v>11500</v>
      </c>
      <c r="BF19" s="9"/>
      <c r="BG19" s="11"/>
      <c r="BH19" s="10">
        <v>6730</v>
      </c>
      <c r="BI19" s="10">
        <v>3000</v>
      </c>
      <c r="BJ19" s="10"/>
      <c r="BK19" s="10">
        <v>9000</v>
      </c>
      <c r="BL19" s="10">
        <v>12000</v>
      </c>
      <c r="BM19" s="10">
        <v>37500</v>
      </c>
      <c r="BN19" s="21"/>
      <c r="BO19" s="20"/>
      <c r="BP19" s="10"/>
      <c r="BQ19" s="11"/>
      <c r="BR19" s="72"/>
      <c r="BS19" s="72">
        <v>10000</v>
      </c>
      <c r="BU19" s="9"/>
      <c r="BV19" s="9"/>
      <c r="BW19" s="9"/>
      <c r="BX19" s="9"/>
      <c r="BY19" s="9"/>
      <c r="BZ19" s="9"/>
      <c r="CA19" s="9"/>
      <c r="CB19" s="9"/>
      <c r="CC19" s="11"/>
      <c r="CD19" s="10"/>
      <c r="CE19" s="10"/>
      <c r="CF19" s="10"/>
      <c r="CG19" s="10"/>
      <c r="CH19" s="10"/>
      <c r="CI19" s="10"/>
      <c r="CJ19" s="21"/>
      <c r="CK19" s="20"/>
      <c r="CL19" s="10"/>
      <c r="CM19" s="11"/>
      <c r="CN19" s="24"/>
      <c r="CO19" s="31"/>
      <c r="CP19" s="31"/>
      <c r="CQ19" s="9"/>
      <c r="CR19" s="9"/>
      <c r="CS19" s="9"/>
      <c r="CT19" s="9"/>
      <c r="CU19" s="9"/>
      <c r="CV19" s="9"/>
      <c r="CW19" s="9"/>
      <c r="CX19" s="11"/>
      <c r="CY19" s="10"/>
      <c r="CZ19" s="10"/>
      <c r="DA19" s="10"/>
      <c r="DB19" s="10"/>
      <c r="DC19" s="21"/>
      <c r="DD19" s="20"/>
      <c r="DE19" s="10"/>
      <c r="DF19" s="11"/>
      <c r="DG19" s="24"/>
      <c r="DH19" s="31"/>
    </row>
    <row r="20" ht="15" customHeight="1" spans="1:112">
      <c r="A20" s="9">
        <v>3500</v>
      </c>
      <c r="B20" s="9">
        <v>7000</v>
      </c>
      <c r="C20" s="9">
        <v>1500</v>
      </c>
      <c r="D20" s="9">
        <v>2000</v>
      </c>
      <c r="E20" s="9">
        <v>1500</v>
      </c>
      <c r="F20" s="9">
        <v>14000</v>
      </c>
      <c r="G20" s="9">
        <v>7000</v>
      </c>
      <c r="H20" s="9"/>
      <c r="I20" s="11"/>
      <c r="J20" s="68">
        <v>35400</v>
      </c>
      <c r="K20" s="68">
        <v>4800</v>
      </c>
      <c r="L20" s="68">
        <v>7000</v>
      </c>
      <c r="M20" s="68">
        <v>42000</v>
      </c>
      <c r="N20" s="68">
        <v>5500</v>
      </c>
      <c r="O20" s="68">
        <v>9500</v>
      </c>
      <c r="P20" s="10"/>
      <c r="Q20" s="21"/>
      <c r="R20" s="20" t="s">
        <v>100</v>
      </c>
      <c r="S20" s="10">
        <v>120520</v>
      </c>
      <c r="T20" s="11"/>
      <c r="U20" s="34">
        <v>15000</v>
      </c>
      <c r="V20" s="34">
        <v>22100</v>
      </c>
      <c r="W20" s="24"/>
      <c r="X20" s="9">
        <v>5000</v>
      </c>
      <c r="Y20" s="9">
        <v>12500</v>
      </c>
      <c r="Z20" s="9">
        <v>2500</v>
      </c>
      <c r="AA20" s="9">
        <v>4500</v>
      </c>
      <c r="AB20" s="9">
        <v>44800</v>
      </c>
      <c r="AC20" s="9">
        <v>2500</v>
      </c>
      <c r="AD20" s="9">
        <v>5000</v>
      </c>
      <c r="AE20" s="9">
        <v>45000</v>
      </c>
      <c r="AF20" s="9"/>
      <c r="AG20" s="11"/>
      <c r="AH20" s="68">
        <v>44000</v>
      </c>
      <c r="AI20" s="68">
        <v>18290</v>
      </c>
      <c r="AJ20" s="68">
        <v>4320</v>
      </c>
      <c r="AK20" s="68">
        <v>5500</v>
      </c>
      <c r="AL20" s="10"/>
      <c r="AM20" s="10"/>
      <c r="AN20" s="68">
        <v>7000</v>
      </c>
      <c r="AO20" s="68">
        <v>7400</v>
      </c>
      <c r="AP20" s="68">
        <v>3500</v>
      </c>
      <c r="AQ20" s="21"/>
      <c r="AR20" s="20" t="s">
        <v>181</v>
      </c>
      <c r="AS20" s="10">
        <v>77500</v>
      </c>
      <c r="AT20" s="11"/>
      <c r="AU20" s="72">
        <v>10600</v>
      </c>
      <c r="AV20" s="72">
        <v>15000</v>
      </c>
      <c r="AX20" s="9">
        <v>2500</v>
      </c>
      <c r="AY20" s="9">
        <v>9000</v>
      </c>
      <c r="AZ20" s="9">
        <v>12000</v>
      </c>
      <c r="BA20" s="9">
        <v>6000</v>
      </c>
      <c r="BB20" s="9">
        <v>1200</v>
      </c>
      <c r="BC20" s="9">
        <v>3800</v>
      </c>
      <c r="BD20" s="9">
        <v>30000</v>
      </c>
      <c r="BE20" s="9">
        <v>900</v>
      </c>
      <c r="BF20" s="9"/>
      <c r="BG20" s="11"/>
      <c r="BH20" s="10">
        <v>1800</v>
      </c>
      <c r="BI20" s="10">
        <v>5500</v>
      </c>
      <c r="BJ20" s="10"/>
      <c r="BK20" s="10">
        <v>700</v>
      </c>
      <c r="BL20" s="10">
        <v>10000</v>
      </c>
      <c r="BM20" s="10">
        <v>7000</v>
      </c>
      <c r="BN20" s="21"/>
      <c r="BO20" s="20"/>
      <c r="BP20" s="10"/>
      <c r="BQ20" s="11"/>
      <c r="BR20" s="72"/>
      <c r="BS20" s="72">
        <v>15000</v>
      </c>
      <c r="BU20" s="9"/>
      <c r="BV20" s="9"/>
      <c r="BW20" s="9"/>
      <c r="BX20" s="9"/>
      <c r="BY20" s="9"/>
      <c r="BZ20" s="9"/>
      <c r="CA20" s="9"/>
      <c r="CB20" s="9"/>
      <c r="CC20" s="11"/>
      <c r="CD20" s="10"/>
      <c r="CE20" s="10"/>
      <c r="CF20" s="10"/>
      <c r="CG20" s="10"/>
      <c r="CH20" s="10"/>
      <c r="CI20" s="10"/>
      <c r="CJ20" s="21"/>
      <c r="CK20" s="20"/>
      <c r="CL20" s="10"/>
      <c r="CM20" s="11"/>
      <c r="CN20" s="24"/>
      <c r="CO20" s="31"/>
      <c r="CP20" s="24"/>
      <c r="CQ20" s="9"/>
      <c r="CR20" s="9"/>
      <c r="CS20" s="9"/>
      <c r="CT20" s="9"/>
      <c r="CU20" s="9"/>
      <c r="CV20" s="9"/>
      <c r="CW20" s="9"/>
      <c r="CX20" s="11"/>
      <c r="CY20" s="10"/>
      <c r="CZ20" s="10"/>
      <c r="DA20" s="10"/>
      <c r="DB20" s="10"/>
      <c r="DC20" s="21"/>
      <c r="DD20" s="20"/>
      <c r="DE20" s="10"/>
      <c r="DF20" s="11"/>
      <c r="DG20" s="24"/>
      <c r="DH20" s="31"/>
    </row>
    <row r="21" ht="15" customHeight="1" spans="1:112">
      <c r="A21" s="9">
        <v>2500</v>
      </c>
      <c r="B21" s="9">
        <v>11000</v>
      </c>
      <c r="C21" s="9">
        <v>400</v>
      </c>
      <c r="D21" s="9">
        <v>3500</v>
      </c>
      <c r="E21" s="9">
        <v>10000</v>
      </c>
      <c r="F21" s="9">
        <v>2500</v>
      </c>
      <c r="G21" s="9">
        <v>1000</v>
      </c>
      <c r="H21" s="9"/>
      <c r="I21" s="11"/>
      <c r="J21" s="68">
        <v>12500</v>
      </c>
      <c r="K21" s="68">
        <v>1000</v>
      </c>
      <c r="L21" s="68">
        <v>3000</v>
      </c>
      <c r="M21" s="68">
        <v>12700</v>
      </c>
      <c r="N21" s="68">
        <v>18000</v>
      </c>
      <c r="O21" s="68">
        <v>2000</v>
      </c>
      <c r="P21" s="10"/>
      <c r="Q21" s="21"/>
      <c r="R21" s="20" t="s">
        <v>212</v>
      </c>
      <c r="S21" s="10">
        <v>1400000</v>
      </c>
      <c r="T21" s="11"/>
      <c r="U21" s="34">
        <v>15000</v>
      </c>
      <c r="V21" s="34">
        <v>6000</v>
      </c>
      <c r="W21" s="24"/>
      <c r="X21" s="9">
        <v>200</v>
      </c>
      <c r="Y21" s="9">
        <v>5000</v>
      </c>
      <c r="Z21" s="9">
        <v>1000</v>
      </c>
      <c r="AA21" s="9">
        <v>1500</v>
      </c>
      <c r="AB21" s="9">
        <v>6000</v>
      </c>
      <c r="AC21" s="9">
        <v>4000</v>
      </c>
      <c r="AD21" s="9">
        <v>9500</v>
      </c>
      <c r="AE21" s="9">
        <v>32000</v>
      </c>
      <c r="AF21" s="9"/>
      <c r="AG21" s="11"/>
      <c r="AH21" s="68">
        <v>9500</v>
      </c>
      <c r="AI21" s="68">
        <v>47150</v>
      </c>
      <c r="AJ21" s="68">
        <v>5500</v>
      </c>
      <c r="AK21" s="68">
        <v>3000</v>
      </c>
      <c r="AL21" s="10"/>
      <c r="AM21" s="10"/>
      <c r="AN21" s="68">
        <v>18000</v>
      </c>
      <c r="AO21" s="68">
        <v>10000</v>
      </c>
      <c r="AP21" s="68">
        <v>23700</v>
      </c>
      <c r="AQ21" s="21"/>
      <c r="AR21" s="20" t="s">
        <v>15</v>
      </c>
      <c r="AS21" s="10">
        <v>222400</v>
      </c>
      <c r="AT21" s="11"/>
      <c r="AU21" s="72">
        <v>15000</v>
      </c>
      <c r="AV21" s="72">
        <v>500000</v>
      </c>
      <c r="AX21" s="9">
        <v>1000</v>
      </c>
      <c r="AY21" s="9">
        <v>13000</v>
      </c>
      <c r="AZ21" s="9">
        <v>82000</v>
      </c>
      <c r="BA21" s="9">
        <v>3500</v>
      </c>
      <c r="BB21" s="9">
        <v>8700</v>
      </c>
      <c r="BC21" s="9">
        <v>3800</v>
      </c>
      <c r="BD21" s="9">
        <v>4000</v>
      </c>
      <c r="BE21" s="9">
        <v>14000</v>
      </c>
      <c r="BF21" s="9"/>
      <c r="BG21" s="11"/>
      <c r="BH21" s="10">
        <v>5000</v>
      </c>
      <c r="BI21" s="10">
        <v>20500</v>
      </c>
      <c r="BJ21" s="10"/>
      <c r="BK21" s="10">
        <v>7500</v>
      </c>
      <c r="BL21" s="10">
        <v>3500</v>
      </c>
      <c r="BM21" s="10">
        <v>5500</v>
      </c>
      <c r="BN21" s="21"/>
      <c r="BO21" s="20"/>
      <c r="BP21" s="10"/>
      <c r="BQ21" s="11"/>
      <c r="BR21" s="72"/>
      <c r="BS21" s="72">
        <v>155540</v>
      </c>
      <c r="BU21" s="9"/>
      <c r="BV21" s="9"/>
      <c r="BW21" s="9"/>
      <c r="BX21" s="9"/>
      <c r="BY21" s="9"/>
      <c r="BZ21" s="9"/>
      <c r="CA21" s="9"/>
      <c r="CB21" s="9"/>
      <c r="CC21" s="11"/>
      <c r="CD21" s="10"/>
      <c r="CE21" s="10"/>
      <c r="CF21" s="10"/>
      <c r="CG21" s="10"/>
      <c r="CH21" s="10"/>
      <c r="CI21" s="10"/>
      <c r="CJ21" s="21"/>
      <c r="CK21" s="20"/>
      <c r="CL21" s="10"/>
      <c r="CM21" s="11"/>
      <c r="CN21" s="24"/>
      <c r="CO21" s="31"/>
      <c r="CP21" s="24"/>
      <c r="CQ21" s="9"/>
      <c r="CR21" s="9"/>
      <c r="CS21" s="9"/>
      <c r="CT21" s="9"/>
      <c r="CU21" s="9"/>
      <c r="CV21" s="9"/>
      <c r="CW21" s="9"/>
      <c r="CX21" s="11"/>
      <c r="CY21" s="10"/>
      <c r="CZ21" s="10"/>
      <c r="DA21" s="10"/>
      <c r="DB21" s="10"/>
      <c r="DC21" s="21"/>
      <c r="DD21" s="20"/>
      <c r="DE21" s="10"/>
      <c r="DF21" s="11"/>
      <c r="DG21" s="24"/>
      <c r="DH21" s="31"/>
    </row>
    <row r="22" ht="15.75" customHeight="1" spans="1:112">
      <c r="A22" s="9">
        <v>8500</v>
      </c>
      <c r="B22" s="9">
        <v>12000</v>
      </c>
      <c r="C22" s="9">
        <v>13500</v>
      </c>
      <c r="D22" s="9">
        <v>2500</v>
      </c>
      <c r="E22" s="9">
        <v>22000</v>
      </c>
      <c r="F22" s="9">
        <v>4500</v>
      </c>
      <c r="G22" s="9">
        <v>10000</v>
      </c>
      <c r="H22" s="9"/>
      <c r="I22" s="11"/>
      <c r="J22" s="68">
        <v>16000</v>
      </c>
      <c r="K22" s="68">
        <v>22000</v>
      </c>
      <c r="L22" s="68">
        <v>36500</v>
      </c>
      <c r="M22" s="68">
        <v>11000</v>
      </c>
      <c r="N22" s="68">
        <v>1600</v>
      </c>
      <c r="O22" s="68">
        <v>4700</v>
      </c>
      <c r="P22" s="10"/>
      <c r="Q22" s="21"/>
      <c r="R22" s="20" t="s">
        <v>212</v>
      </c>
      <c r="S22" s="10">
        <v>213100</v>
      </c>
      <c r="T22" s="11"/>
      <c r="U22" s="34">
        <v>30000</v>
      </c>
      <c r="V22" s="34">
        <v>15000</v>
      </c>
      <c r="W22" s="24"/>
      <c r="X22" s="9">
        <v>12300</v>
      </c>
      <c r="Y22" s="9">
        <v>6000</v>
      </c>
      <c r="Z22" s="9">
        <v>8000</v>
      </c>
      <c r="AA22" s="9">
        <v>1200</v>
      </c>
      <c r="AB22" s="9">
        <v>2500</v>
      </c>
      <c r="AC22" s="9">
        <v>8000</v>
      </c>
      <c r="AD22" s="9">
        <v>3000</v>
      </c>
      <c r="AE22" s="9">
        <v>2800</v>
      </c>
      <c r="AF22" s="9"/>
      <c r="AG22" s="11"/>
      <c r="AH22" s="68">
        <v>39000</v>
      </c>
      <c r="AI22" s="68">
        <v>5500</v>
      </c>
      <c r="AJ22" s="68">
        <v>9000</v>
      </c>
      <c r="AK22" s="68">
        <v>61400</v>
      </c>
      <c r="AL22" s="10"/>
      <c r="AM22" s="10"/>
      <c r="AN22" s="68">
        <v>8500</v>
      </c>
      <c r="AO22" s="68">
        <v>14700</v>
      </c>
      <c r="AP22" s="68">
        <v>12500</v>
      </c>
      <c r="AQ22" s="21"/>
      <c r="AR22" s="20" t="s">
        <v>11</v>
      </c>
      <c r="AS22" s="10">
        <v>97990</v>
      </c>
      <c r="AT22" s="11"/>
      <c r="AU22" s="72">
        <v>15000</v>
      </c>
      <c r="AV22" s="72">
        <v>15000</v>
      </c>
      <c r="AX22" s="9">
        <v>1000</v>
      </c>
      <c r="AY22" s="9">
        <v>200</v>
      </c>
      <c r="AZ22" s="9">
        <v>9000</v>
      </c>
      <c r="BA22" s="9">
        <v>5000</v>
      </c>
      <c r="BB22" s="9">
        <v>8000</v>
      </c>
      <c r="BC22" s="9">
        <v>1250</v>
      </c>
      <c r="BD22" s="9">
        <v>7500</v>
      </c>
      <c r="BE22" s="9">
        <v>2000</v>
      </c>
      <c r="BF22" s="9"/>
      <c r="BG22" s="11"/>
      <c r="BH22" s="10">
        <v>7200</v>
      </c>
      <c r="BI22" s="10">
        <v>600</v>
      </c>
      <c r="BJ22" s="10"/>
      <c r="BK22" s="10">
        <v>2500</v>
      </c>
      <c r="BL22" s="10">
        <v>68500</v>
      </c>
      <c r="BM22" s="10">
        <v>3000</v>
      </c>
      <c r="BN22" s="21"/>
      <c r="BO22" s="20"/>
      <c r="BP22" s="10"/>
      <c r="BQ22" s="11"/>
      <c r="BR22" s="72"/>
      <c r="BS22" s="72">
        <v>7500</v>
      </c>
      <c r="BU22" s="9"/>
      <c r="BV22" s="9"/>
      <c r="BW22" s="9"/>
      <c r="BX22" s="9"/>
      <c r="BY22" s="9"/>
      <c r="BZ22" s="9"/>
      <c r="CA22" s="9"/>
      <c r="CB22" s="9"/>
      <c r="CC22" s="11"/>
      <c r="CD22" s="10"/>
      <c r="CE22" s="10"/>
      <c r="CF22" s="10"/>
      <c r="CG22" s="10"/>
      <c r="CH22" s="10"/>
      <c r="CI22" s="10"/>
      <c r="CJ22" s="21"/>
      <c r="CK22" s="20"/>
      <c r="CL22" s="10"/>
      <c r="CM22" s="11"/>
      <c r="CN22" s="24"/>
      <c r="CO22" s="31"/>
      <c r="CP22" s="24"/>
      <c r="CQ22" s="9"/>
      <c r="CR22" s="9"/>
      <c r="CS22" s="9"/>
      <c r="CT22" s="9"/>
      <c r="CU22" s="9"/>
      <c r="CV22" s="9"/>
      <c r="CW22" s="9"/>
      <c r="CX22" s="11"/>
      <c r="CY22" s="10"/>
      <c r="CZ22" s="10"/>
      <c r="DA22" s="10"/>
      <c r="DB22" s="10"/>
      <c r="DC22" s="21"/>
      <c r="DD22" s="20"/>
      <c r="DE22" s="10"/>
      <c r="DF22" s="11"/>
      <c r="DG22" s="24"/>
      <c r="DH22" s="31"/>
    </row>
    <row r="23" spans="1:112">
      <c r="A23" s="9">
        <v>20000</v>
      </c>
      <c r="B23" s="9">
        <v>5000</v>
      </c>
      <c r="C23" s="9">
        <v>14000</v>
      </c>
      <c r="D23" s="9">
        <v>4500</v>
      </c>
      <c r="E23" s="9">
        <v>300</v>
      </c>
      <c r="F23" s="9">
        <v>5000</v>
      </c>
      <c r="G23" s="9">
        <v>15000</v>
      </c>
      <c r="H23" s="9"/>
      <c r="I23" s="11"/>
      <c r="J23" s="68">
        <v>5500</v>
      </c>
      <c r="K23" s="68">
        <v>4500</v>
      </c>
      <c r="L23" s="68">
        <v>1440</v>
      </c>
      <c r="M23" s="68">
        <v>6500</v>
      </c>
      <c r="N23" s="68">
        <v>4200</v>
      </c>
      <c r="O23" s="68">
        <v>30000</v>
      </c>
      <c r="P23" s="10"/>
      <c r="Q23" s="21"/>
      <c r="R23" s="20" t="s">
        <v>19</v>
      </c>
      <c r="S23" s="10">
        <v>50000</v>
      </c>
      <c r="T23" s="11"/>
      <c r="U23" s="34">
        <v>10600</v>
      </c>
      <c r="V23" s="34">
        <v>13000</v>
      </c>
      <c r="W23" s="24"/>
      <c r="X23" s="9">
        <v>13000</v>
      </c>
      <c r="Y23" s="9">
        <v>4000</v>
      </c>
      <c r="Z23" s="9">
        <v>3000</v>
      </c>
      <c r="AA23" s="9">
        <v>2500</v>
      </c>
      <c r="AB23" s="9">
        <v>11200</v>
      </c>
      <c r="AC23" s="9">
        <v>2500</v>
      </c>
      <c r="AD23" s="9">
        <v>5000</v>
      </c>
      <c r="AE23" s="9">
        <v>4500</v>
      </c>
      <c r="AF23" s="9"/>
      <c r="AG23" s="11"/>
      <c r="AH23" s="68">
        <v>27500</v>
      </c>
      <c r="AI23" s="68">
        <v>1800</v>
      </c>
      <c r="AJ23" s="68">
        <v>27500</v>
      </c>
      <c r="AK23" s="68">
        <v>7500</v>
      </c>
      <c r="AL23" s="10"/>
      <c r="AM23" s="10"/>
      <c r="AN23" s="68">
        <v>12100</v>
      </c>
      <c r="AO23" s="68">
        <v>8000</v>
      </c>
      <c r="AP23" s="68">
        <v>6000</v>
      </c>
      <c r="AQ23" s="21"/>
      <c r="AR23" s="20" t="s">
        <v>14</v>
      </c>
      <c r="AS23" s="10">
        <v>500000</v>
      </c>
      <c r="AT23" s="11"/>
      <c r="AU23" s="72">
        <v>45000</v>
      </c>
      <c r="AV23" s="72">
        <v>47000</v>
      </c>
      <c r="AX23" s="9">
        <v>66400</v>
      </c>
      <c r="AY23" s="9">
        <v>13000</v>
      </c>
      <c r="AZ23" s="9">
        <v>3000</v>
      </c>
      <c r="BA23" s="9">
        <v>1700</v>
      </c>
      <c r="BB23" s="9">
        <v>16000</v>
      </c>
      <c r="BC23" s="9">
        <v>5000</v>
      </c>
      <c r="BD23" s="9">
        <v>3500</v>
      </c>
      <c r="BE23" s="9">
        <v>3500</v>
      </c>
      <c r="BF23" s="9"/>
      <c r="BG23" s="11"/>
      <c r="BH23" s="10">
        <v>8000</v>
      </c>
      <c r="BI23" s="10">
        <v>20370</v>
      </c>
      <c r="BJ23" s="10"/>
      <c r="BK23" s="10">
        <v>31500</v>
      </c>
      <c r="BL23" s="10">
        <v>5500</v>
      </c>
      <c r="BM23" s="10"/>
      <c r="BN23" s="21"/>
      <c r="BO23" s="20"/>
      <c r="BP23" s="10"/>
      <c r="BQ23" s="11"/>
      <c r="BR23" s="72"/>
      <c r="BS23" s="72">
        <v>278370</v>
      </c>
      <c r="BU23" s="9"/>
      <c r="BV23" s="9"/>
      <c r="BW23" s="9"/>
      <c r="BX23" s="9"/>
      <c r="BY23" s="9"/>
      <c r="BZ23" s="9"/>
      <c r="CA23" s="9"/>
      <c r="CB23" s="9"/>
      <c r="CC23" s="11"/>
      <c r="CD23" s="10"/>
      <c r="CE23" s="10"/>
      <c r="CF23" s="10"/>
      <c r="CG23" s="10"/>
      <c r="CH23" s="10"/>
      <c r="CI23" s="10"/>
      <c r="CJ23" s="21"/>
      <c r="CK23" s="20"/>
      <c r="CL23" s="10"/>
      <c r="CM23" s="11"/>
      <c r="CN23" s="24"/>
      <c r="CO23" s="31"/>
      <c r="CP23" s="24"/>
      <c r="CQ23" s="9"/>
      <c r="CR23" s="9"/>
      <c r="CS23" s="9"/>
      <c r="CT23" s="9"/>
      <c r="CU23" s="9"/>
      <c r="CV23" s="9"/>
      <c r="CW23" s="9"/>
      <c r="CX23" s="11"/>
      <c r="CY23" s="10"/>
      <c r="CZ23" s="10"/>
      <c r="DA23" s="10"/>
      <c r="DB23" s="10"/>
      <c r="DC23" s="21"/>
      <c r="DD23" s="20"/>
      <c r="DE23" s="10"/>
      <c r="DF23" s="11"/>
      <c r="DG23" s="24"/>
      <c r="DH23" s="31"/>
    </row>
    <row r="24" spans="1:112">
      <c r="A24" s="9">
        <v>1500</v>
      </c>
      <c r="B24" s="9">
        <v>4000</v>
      </c>
      <c r="C24" s="9">
        <v>35000</v>
      </c>
      <c r="D24" s="9">
        <v>46000</v>
      </c>
      <c r="E24" s="9">
        <v>10900</v>
      </c>
      <c r="F24" s="9">
        <v>7500</v>
      </c>
      <c r="G24" s="9">
        <v>1600</v>
      </c>
      <c r="H24" s="9"/>
      <c r="I24" s="11"/>
      <c r="J24" s="68">
        <v>23530</v>
      </c>
      <c r="K24" s="68">
        <v>6730</v>
      </c>
      <c r="L24" s="68">
        <v>400</v>
      </c>
      <c r="M24" s="10"/>
      <c r="N24" s="68">
        <v>22000</v>
      </c>
      <c r="O24" s="68">
        <v>4000</v>
      </c>
      <c r="P24" s="10"/>
      <c r="Q24" s="21"/>
      <c r="R24" s="20"/>
      <c r="S24" s="10"/>
      <c r="T24" s="11"/>
      <c r="U24" s="34"/>
      <c r="V24" s="34">
        <v>10600</v>
      </c>
      <c r="W24" s="24"/>
      <c r="X24" s="9">
        <v>9400</v>
      </c>
      <c r="Y24" s="9">
        <v>1000</v>
      </c>
      <c r="Z24" s="9">
        <v>10000</v>
      </c>
      <c r="AA24" s="9">
        <v>6000</v>
      </c>
      <c r="AB24" s="9">
        <v>1500</v>
      </c>
      <c r="AC24" s="9">
        <v>2000</v>
      </c>
      <c r="AD24" s="9">
        <v>22000</v>
      </c>
      <c r="AE24" s="9">
        <v>7000</v>
      </c>
      <c r="AF24" s="9"/>
      <c r="AG24" s="11"/>
      <c r="AH24" s="68">
        <v>7500</v>
      </c>
      <c r="AI24" s="68">
        <v>14000</v>
      </c>
      <c r="AJ24" s="68">
        <v>9540</v>
      </c>
      <c r="AK24" s="68">
        <v>32500</v>
      </c>
      <c r="AL24" s="10"/>
      <c r="AM24" s="10"/>
      <c r="AN24" s="68">
        <v>5500</v>
      </c>
      <c r="AO24" s="68">
        <v>6000</v>
      </c>
      <c r="AP24" s="68">
        <v>2500</v>
      </c>
      <c r="AQ24" s="21"/>
      <c r="AR24" s="20"/>
      <c r="AS24" s="10"/>
      <c r="AT24" s="11"/>
      <c r="AU24" s="72"/>
      <c r="AV24" s="72">
        <v>15000</v>
      </c>
      <c r="AX24" s="9">
        <v>2000</v>
      </c>
      <c r="AY24" s="9">
        <v>2300</v>
      </c>
      <c r="AZ24" s="9">
        <v>5000</v>
      </c>
      <c r="BA24" s="9">
        <v>19000</v>
      </c>
      <c r="BB24" s="9">
        <v>5000</v>
      </c>
      <c r="BC24" s="9">
        <v>1000</v>
      </c>
      <c r="BD24" s="9">
        <v>1600</v>
      </c>
      <c r="BE24" s="9">
        <v>2000</v>
      </c>
      <c r="BF24" s="9"/>
      <c r="BG24" s="11"/>
      <c r="BH24" s="10">
        <v>3800</v>
      </c>
      <c r="BI24" s="10">
        <v>32000</v>
      </c>
      <c r="BJ24" s="10"/>
      <c r="BK24" s="10">
        <v>5500</v>
      </c>
      <c r="BL24" s="10">
        <v>13500</v>
      </c>
      <c r="BM24" s="10"/>
      <c r="BN24" s="21"/>
      <c r="BO24" s="20"/>
      <c r="BP24" s="10"/>
      <c r="BQ24" s="11"/>
      <c r="BR24" s="72"/>
      <c r="BS24" s="72">
        <v>6600</v>
      </c>
      <c r="BU24" s="9"/>
      <c r="BV24" s="9"/>
      <c r="BW24" s="9"/>
      <c r="BX24" s="9"/>
      <c r="BY24" s="9"/>
      <c r="BZ24" s="9"/>
      <c r="CA24" s="9"/>
      <c r="CB24" s="9"/>
      <c r="CC24" s="11"/>
      <c r="CD24" s="10"/>
      <c r="CE24" s="10"/>
      <c r="CF24" s="10"/>
      <c r="CG24" s="10"/>
      <c r="CH24" s="10"/>
      <c r="CI24" s="10"/>
      <c r="CJ24" s="21"/>
      <c r="CK24" s="20"/>
      <c r="CL24" s="10"/>
      <c r="CM24" s="11"/>
      <c r="CN24" s="24"/>
      <c r="CO24" s="24"/>
      <c r="CP24" s="24"/>
      <c r="CQ24" s="9"/>
      <c r="CR24" s="9"/>
      <c r="CS24" s="9"/>
      <c r="CT24" s="9"/>
      <c r="CU24" s="9"/>
      <c r="CV24" s="9"/>
      <c r="CW24" s="9"/>
      <c r="CX24" s="11"/>
      <c r="CY24" s="10"/>
      <c r="CZ24" s="10"/>
      <c r="DA24" s="10"/>
      <c r="DB24" s="10"/>
      <c r="DC24" s="21"/>
      <c r="DD24" s="20"/>
      <c r="DE24" s="10"/>
      <c r="DF24" s="11"/>
      <c r="DG24" s="24"/>
      <c r="DH24" s="24"/>
    </row>
    <row r="25" spans="1:112">
      <c r="A25" s="9">
        <v>7500</v>
      </c>
      <c r="B25" s="9">
        <v>1500</v>
      </c>
      <c r="C25" s="9">
        <v>32000</v>
      </c>
      <c r="D25" s="9">
        <v>117500</v>
      </c>
      <c r="E25" s="9">
        <v>6000</v>
      </c>
      <c r="F25" s="9">
        <v>1800</v>
      </c>
      <c r="G25" s="9">
        <v>1500</v>
      </c>
      <c r="H25" s="9"/>
      <c r="I25" s="11"/>
      <c r="J25" s="68">
        <v>1920</v>
      </c>
      <c r="K25" s="68">
        <v>19810</v>
      </c>
      <c r="L25" s="68">
        <v>7000</v>
      </c>
      <c r="M25" s="10"/>
      <c r="N25" s="68">
        <v>1500</v>
      </c>
      <c r="O25" s="68">
        <v>4500</v>
      </c>
      <c r="P25" s="10"/>
      <c r="Q25" s="21"/>
      <c r="R25" s="20"/>
      <c r="S25" s="10"/>
      <c r="T25" s="11"/>
      <c r="U25" s="24"/>
      <c r="V25" s="34">
        <v>13500</v>
      </c>
      <c r="W25" s="24"/>
      <c r="X25" s="9">
        <v>5000</v>
      </c>
      <c r="Y25" s="9">
        <v>20000</v>
      </c>
      <c r="Z25" s="9">
        <v>2000</v>
      </c>
      <c r="AA25" s="9">
        <v>6500</v>
      </c>
      <c r="AB25" s="9">
        <v>600</v>
      </c>
      <c r="AC25" s="9">
        <v>3500</v>
      </c>
      <c r="AD25" s="9">
        <v>4000</v>
      </c>
      <c r="AE25" s="9">
        <v>6000</v>
      </c>
      <c r="AF25" s="9"/>
      <c r="AG25" s="11"/>
      <c r="AH25" s="68">
        <v>75000</v>
      </c>
      <c r="AI25" s="68">
        <v>91460</v>
      </c>
      <c r="AJ25" s="68">
        <v>11000</v>
      </c>
      <c r="AK25" s="68">
        <v>2000</v>
      </c>
      <c r="AL25" s="10"/>
      <c r="AM25" s="10"/>
      <c r="AN25" s="68">
        <v>1500</v>
      </c>
      <c r="AO25" s="68">
        <v>19500</v>
      </c>
      <c r="AP25" s="68">
        <v>5500</v>
      </c>
      <c r="AQ25" s="21"/>
      <c r="AR25" s="20"/>
      <c r="AS25" s="10"/>
      <c r="AT25" s="11"/>
      <c r="AU25" s="72"/>
      <c r="AV25" s="72">
        <v>64000</v>
      </c>
      <c r="AX25" s="9">
        <v>1200</v>
      </c>
      <c r="AY25" s="9">
        <v>10000</v>
      </c>
      <c r="AZ25" s="9">
        <v>6000</v>
      </c>
      <c r="BA25" s="9">
        <v>1000</v>
      </c>
      <c r="BB25" s="9">
        <v>3000</v>
      </c>
      <c r="BC25" s="9">
        <v>1200</v>
      </c>
      <c r="BD25" s="9">
        <v>8500</v>
      </c>
      <c r="BE25" s="9">
        <v>2000</v>
      </c>
      <c r="BF25" s="9"/>
      <c r="BG25" s="11"/>
      <c r="BH25" s="10">
        <v>27000</v>
      </c>
      <c r="BI25" s="10">
        <v>500</v>
      </c>
      <c r="BJ25" s="10"/>
      <c r="BK25" s="10">
        <v>4000</v>
      </c>
      <c r="BL25" s="10">
        <v>3000</v>
      </c>
      <c r="BM25" s="10"/>
      <c r="BN25" s="21"/>
      <c r="BO25" s="20"/>
      <c r="BP25" s="10"/>
      <c r="BQ25" s="11"/>
      <c r="BR25" s="72"/>
      <c r="BS25" s="72">
        <v>15000</v>
      </c>
      <c r="BU25" s="9"/>
      <c r="BV25" s="9"/>
      <c r="BW25" s="9"/>
      <c r="BX25" s="9"/>
      <c r="BY25" s="9"/>
      <c r="BZ25" s="9"/>
      <c r="CA25" s="9"/>
      <c r="CB25" s="9"/>
      <c r="CC25" s="11"/>
      <c r="CD25" s="10"/>
      <c r="CE25" s="10"/>
      <c r="CF25" s="10"/>
      <c r="CG25" s="10"/>
      <c r="CH25" s="10"/>
      <c r="CI25" s="10"/>
      <c r="CJ25" s="21"/>
      <c r="CK25" s="20"/>
      <c r="CL25" s="10"/>
      <c r="CM25" s="11"/>
      <c r="CN25" s="24"/>
      <c r="CO25" s="24"/>
      <c r="CP25" s="24"/>
      <c r="CQ25" s="9"/>
      <c r="CR25" s="9"/>
      <c r="CS25" s="9"/>
      <c r="CT25" s="9"/>
      <c r="CU25" s="9"/>
      <c r="CV25" s="9"/>
      <c r="CW25" s="9"/>
      <c r="CX25" s="11"/>
      <c r="CY25" s="10"/>
      <c r="CZ25" s="10"/>
      <c r="DA25" s="10"/>
      <c r="DB25" s="10"/>
      <c r="DC25" s="21"/>
      <c r="DD25" s="20"/>
      <c r="DE25" s="10"/>
      <c r="DF25" s="11"/>
      <c r="DG25" s="24"/>
      <c r="DH25" s="24"/>
    </row>
    <row r="26" spans="1:112">
      <c r="A26" s="9">
        <v>4500</v>
      </c>
      <c r="B26" s="9">
        <v>1000</v>
      </c>
      <c r="C26" s="9">
        <v>10000</v>
      </c>
      <c r="D26" s="9">
        <v>800</v>
      </c>
      <c r="E26" s="9">
        <v>2000</v>
      </c>
      <c r="F26" s="9">
        <v>3000</v>
      </c>
      <c r="G26" s="9">
        <v>3500</v>
      </c>
      <c r="H26" s="9"/>
      <c r="I26" s="11"/>
      <c r="J26" s="68">
        <v>5000</v>
      </c>
      <c r="K26" s="68">
        <v>31690</v>
      </c>
      <c r="L26" s="68">
        <v>9000</v>
      </c>
      <c r="M26" s="10"/>
      <c r="N26" s="68">
        <v>10000</v>
      </c>
      <c r="O26" s="68">
        <v>2000</v>
      </c>
      <c r="P26" s="10"/>
      <c r="Q26" s="21"/>
      <c r="R26" s="20"/>
      <c r="S26" s="10"/>
      <c r="T26" s="11"/>
      <c r="U26" s="24"/>
      <c r="V26" s="34">
        <v>15000</v>
      </c>
      <c r="W26" s="24"/>
      <c r="X26" s="9">
        <v>103000</v>
      </c>
      <c r="Y26" s="9">
        <v>3000</v>
      </c>
      <c r="Z26" s="9">
        <v>3000</v>
      </c>
      <c r="AA26" s="9">
        <v>14000</v>
      </c>
      <c r="AB26" s="9">
        <v>3800</v>
      </c>
      <c r="AC26" s="9">
        <v>6000</v>
      </c>
      <c r="AD26" s="9">
        <v>9000</v>
      </c>
      <c r="AE26" s="9">
        <v>200</v>
      </c>
      <c r="AF26" s="9"/>
      <c r="AG26" s="11"/>
      <c r="AH26" s="68">
        <v>7000</v>
      </c>
      <c r="AI26" s="68">
        <v>70000</v>
      </c>
      <c r="AJ26" s="68">
        <v>4000</v>
      </c>
      <c r="AK26" s="68">
        <v>5000</v>
      </c>
      <c r="AL26" s="10"/>
      <c r="AM26" s="10"/>
      <c r="AN26" s="68">
        <v>6000</v>
      </c>
      <c r="AO26" s="68">
        <v>7500</v>
      </c>
      <c r="AP26" s="68">
        <v>2000</v>
      </c>
      <c r="AQ26" s="21"/>
      <c r="AR26" s="20"/>
      <c r="AS26" s="10"/>
      <c r="AT26" s="11"/>
      <c r="AU26" s="72"/>
      <c r="AV26" s="72">
        <v>515840</v>
      </c>
      <c r="AX26" s="9">
        <v>1000</v>
      </c>
      <c r="AY26" s="9">
        <v>7000</v>
      </c>
      <c r="AZ26" s="9">
        <v>104500</v>
      </c>
      <c r="BA26" s="9">
        <v>5000</v>
      </c>
      <c r="BB26" s="9">
        <v>38900</v>
      </c>
      <c r="BC26" s="9">
        <v>4500</v>
      </c>
      <c r="BD26" s="9">
        <v>800</v>
      </c>
      <c r="BE26" s="9">
        <v>1600</v>
      </c>
      <c r="BF26" s="9"/>
      <c r="BG26" s="11"/>
      <c r="BH26" s="10">
        <v>2800</v>
      </c>
      <c r="BI26" s="10">
        <v>29000</v>
      </c>
      <c r="BJ26" s="10"/>
      <c r="BK26" s="10">
        <v>9900</v>
      </c>
      <c r="BL26" s="10">
        <v>10000</v>
      </c>
      <c r="BM26" s="10"/>
      <c r="BN26" s="21"/>
      <c r="BO26" s="20"/>
      <c r="BP26" s="10"/>
      <c r="BQ26" s="11"/>
      <c r="BR26" s="72"/>
      <c r="BS26" s="72">
        <v>15000</v>
      </c>
      <c r="BU26" s="9"/>
      <c r="BV26" s="9"/>
      <c r="BW26" s="9"/>
      <c r="BX26" s="9"/>
      <c r="BY26" s="9"/>
      <c r="BZ26" s="9"/>
      <c r="CA26" s="9"/>
      <c r="CB26" s="9"/>
      <c r="CC26" s="11"/>
      <c r="CD26" s="10"/>
      <c r="CE26" s="10"/>
      <c r="CF26" s="10"/>
      <c r="CG26" s="10"/>
      <c r="CH26" s="10"/>
      <c r="CI26" s="10"/>
      <c r="CJ26" s="21"/>
      <c r="CK26" s="20"/>
      <c r="CL26" s="10"/>
      <c r="CM26" s="11"/>
      <c r="CN26" s="24"/>
      <c r="CO26" s="24"/>
      <c r="CP26" s="24"/>
      <c r="CQ26" s="9"/>
      <c r="CR26" s="9"/>
      <c r="CS26" s="9"/>
      <c r="CT26" s="9"/>
      <c r="CU26" s="9"/>
      <c r="CV26" s="9"/>
      <c r="CW26" s="9"/>
      <c r="CX26" s="11"/>
      <c r="CY26" s="10"/>
      <c r="CZ26" s="10"/>
      <c r="DA26" s="10"/>
      <c r="DB26" s="10"/>
      <c r="DC26" s="21"/>
      <c r="DD26" s="20"/>
      <c r="DE26" s="10"/>
      <c r="DF26" s="11"/>
      <c r="DG26" s="24"/>
      <c r="DH26" s="24"/>
    </row>
    <row r="27" spans="1:112">
      <c r="A27" s="9">
        <v>1000</v>
      </c>
      <c r="B27" s="9">
        <v>22000</v>
      </c>
      <c r="C27" s="9">
        <v>1500</v>
      </c>
      <c r="D27" s="9">
        <v>3500</v>
      </c>
      <c r="E27" s="9">
        <v>500</v>
      </c>
      <c r="F27" s="9">
        <v>1500</v>
      </c>
      <c r="G27" s="9">
        <v>228000</v>
      </c>
      <c r="H27" s="9"/>
      <c r="I27" s="11"/>
      <c r="J27" s="68">
        <v>7000</v>
      </c>
      <c r="K27" s="68">
        <v>21230</v>
      </c>
      <c r="L27" s="68">
        <v>57400</v>
      </c>
      <c r="M27" s="10"/>
      <c r="N27" s="68">
        <v>38000</v>
      </c>
      <c r="O27" s="68">
        <v>7000</v>
      </c>
      <c r="P27" s="10"/>
      <c r="Q27" s="21"/>
      <c r="R27" s="20"/>
      <c r="S27" s="10"/>
      <c r="T27" s="11"/>
      <c r="U27" s="24"/>
      <c r="V27" s="34">
        <v>15000</v>
      </c>
      <c r="W27" s="24"/>
      <c r="X27" s="9">
        <v>2100</v>
      </c>
      <c r="Y27" s="9">
        <v>110000</v>
      </c>
      <c r="Z27" s="9">
        <v>2500</v>
      </c>
      <c r="AA27" s="9">
        <v>9000</v>
      </c>
      <c r="AB27" s="9">
        <v>1000</v>
      </c>
      <c r="AC27" s="9">
        <v>21500</v>
      </c>
      <c r="AD27" s="9">
        <v>6000</v>
      </c>
      <c r="AE27" s="9">
        <v>5000</v>
      </c>
      <c r="AF27" s="9"/>
      <c r="AG27" s="11"/>
      <c r="AH27" s="68">
        <v>14410</v>
      </c>
      <c r="AI27" s="68">
        <v>7680</v>
      </c>
      <c r="AJ27" s="68">
        <v>9800</v>
      </c>
      <c r="AK27" s="68">
        <v>13000</v>
      </c>
      <c r="AL27" s="10"/>
      <c r="AM27" s="10"/>
      <c r="AN27" s="68">
        <v>6000</v>
      </c>
      <c r="AO27" s="68">
        <v>14300</v>
      </c>
      <c r="AP27" s="68">
        <v>9000</v>
      </c>
      <c r="AQ27" s="21"/>
      <c r="AR27" s="20"/>
      <c r="AS27" s="10"/>
      <c r="AT27" s="11"/>
      <c r="AU27" s="72"/>
      <c r="AV27" s="72">
        <v>10600</v>
      </c>
      <c r="AX27" s="9">
        <v>2500</v>
      </c>
      <c r="AY27" s="9">
        <v>5000</v>
      </c>
      <c r="AZ27" s="9">
        <v>15000</v>
      </c>
      <c r="BA27" s="9">
        <v>2500</v>
      </c>
      <c r="BB27" s="9">
        <v>6500</v>
      </c>
      <c r="BC27" s="9">
        <v>5300</v>
      </c>
      <c r="BD27" s="9">
        <v>1500</v>
      </c>
      <c r="BE27" s="9">
        <v>500</v>
      </c>
      <c r="BF27" s="9"/>
      <c r="BG27" s="11"/>
      <c r="BH27" s="10">
        <v>7500</v>
      </c>
      <c r="BI27" s="10">
        <v>7630</v>
      </c>
      <c r="BJ27" s="10"/>
      <c r="BK27" s="10">
        <v>4000</v>
      </c>
      <c r="BL27" s="10">
        <v>12000</v>
      </c>
      <c r="BM27" s="10"/>
      <c r="BN27" s="21"/>
      <c r="BO27" s="20"/>
      <c r="BP27" s="10"/>
      <c r="BQ27" s="11"/>
      <c r="BR27" s="72"/>
      <c r="BS27" s="72">
        <v>15000</v>
      </c>
      <c r="BU27" s="9"/>
      <c r="BV27" s="9"/>
      <c r="BW27" s="9"/>
      <c r="BX27" s="9"/>
      <c r="BY27" s="9"/>
      <c r="BZ27" s="9"/>
      <c r="CA27" s="9"/>
      <c r="CB27" s="9"/>
      <c r="CC27" s="11"/>
      <c r="CD27" s="10"/>
      <c r="CE27" s="10"/>
      <c r="CF27" s="10"/>
      <c r="CG27" s="10"/>
      <c r="CH27" s="10"/>
      <c r="CI27" s="10"/>
      <c r="CJ27" s="21"/>
      <c r="CK27" s="20"/>
      <c r="CL27" s="10"/>
      <c r="CM27" s="11"/>
      <c r="CN27" s="24"/>
      <c r="CO27" s="24"/>
      <c r="CP27" s="24"/>
      <c r="CQ27" s="9"/>
      <c r="CR27" s="9"/>
      <c r="CS27" s="9"/>
      <c r="CT27" s="9"/>
      <c r="CU27" s="9"/>
      <c r="CV27" s="9"/>
      <c r="CW27" s="9"/>
      <c r="CX27" s="11"/>
      <c r="CY27" s="10"/>
      <c r="CZ27" s="10"/>
      <c r="DA27" s="10"/>
      <c r="DB27" s="10"/>
      <c r="DC27" s="21"/>
      <c r="DD27" s="20"/>
      <c r="DE27" s="10"/>
      <c r="DF27" s="11"/>
      <c r="DG27" s="24"/>
      <c r="DH27" s="24"/>
    </row>
    <row r="28" spans="1:112">
      <c r="A28" s="9">
        <v>2500</v>
      </c>
      <c r="B28" s="9">
        <v>10000</v>
      </c>
      <c r="C28" s="9">
        <v>1600</v>
      </c>
      <c r="D28" s="9">
        <v>4500</v>
      </c>
      <c r="E28" s="9">
        <v>10500</v>
      </c>
      <c r="F28" s="9">
        <v>2700</v>
      </c>
      <c r="G28" s="9">
        <v>3000</v>
      </c>
      <c r="H28" s="9"/>
      <c r="I28" s="11"/>
      <c r="J28" s="68">
        <v>37500</v>
      </c>
      <c r="K28" s="68">
        <v>12090</v>
      </c>
      <c r="L28" s="68">
        <v>3000</v>
      </c>
      <c r="M28" s="10"/>
      <c r="N28" s="68">
        <v>5500</v>
      </c>
      <c r="O28" s="68">
        <v>120000</v>
      </c>
      <c r="P28" s="10"/>
      <c r="Q28" s="21"/>
      <c r="R28" s="20"/>
      <c r="S28" s="10"/>
      <c r="T28" s="11"/>
      <c r="U28" s="24"/>
      <c r="V28" s="34">
        <v>311380</v>
      </c>
      <c r="W28" s="24"/>
      <c r="X28" s="9">
        <v>10000</v>
      </c>
      <c r="Y28" s="9">
        <v>5500</v>
      </c>
      <c r="Z28" s="9">
        <v>5000</v>
      </c>
      <c r="AA28" s="9">
        <v>2500</v>
      </c>
      <c r="AB28" s="9">
        <v>500</v>
      </c>
      <c r="AC28" s="9">
        <v>1000</v>
      </c>
      <c r="AD28" s="9">
        <v>5000</v>
      </c>
      <c r="AE28" s="9">
        <v>6000</v>
      </c>
      <c r="AF28" s="9"/>
      <c r="AG28" s="11"/>
      <c r="AH28" s="68">
        <v>18500</v>
      </c>
      <c r="AI28" s="68">
        <v>1920</v>
      </c>
      <c r="AJ28" s="68">
        <v>2500</v>
      </c>
      <c r="AK28" s="68">
        <v>26930</v>
      </c>
      <c r="AL28" s="10"/>
      <c r="AM28" s="10"/>
      <c r="AN28" s="68">
        <v>2000</v>
      </c>
      <c r="AO28" s="68">
        <v>5000</v>
      </c>
      <c r="AP28" s="68">
        <v>6000</v>
      </c>
      <c r="AQ28" s="21"/>
      <c r="AR28" s="20"/>
      <c r="AS28" s="10"/>
      <c r="AT28" s="11"/>
      <c r="AU28" s="72"/>
      <c r="AV28" s="72">
        <v>15000</v>
      </c>
      <c r="AX28" s="9">
        <v>4000</v>
      </c>
      <c r="AY28" s="9">
        <v>49000</v>
      </c>
      <c r="AZ28" s="9">
        <v>7200</v>
      </c>
      <c r="BA28" s="9">
        <v>1500</v>
      </c>
      <c r="BB28" s="9">
        <v>18000</v>
      </c>
      <c r="BC28" s="9">
        <v>2500</v>
      </c>
      <c r="BD28" s="9">
        <v>5300</v>
      </c>
      <c r="BE28" s="9">
        <v>13000</v>
      </c>
      <c r="BF28" s="9"/>
      <c r="BG28" s="11"/>
      <c r="BH28" s="10">
        <v>19000</v>
      </c>
      <c r="BI28" s="10">
        <v>26500</v>
      </c>
      <c r="BJ28" s="10"/>
      <c r="BK28" s="10">
        <v>2500</v>
      </c>
      <c r="BL28" s="10">
        <v>5000</v>
      </c>
      <c r="BM28" s="10"/>
      <c r="BN28" s="21"/>
      <c r="BO28" s="20"/>
      <c r="BP28" s="10"/>
      <c r="BQ28" s="11"/>
      <c r="BR28" s="72"/>
      <c r="BS28" s="72">
        <v>57000</v>
      </c>
      <c r="BU28" s="9"/>
      <c r="BV28" s="9"/>
      <c r="BW28" s="9"/>
      <c r="BX28" s="9"/>
      <c r="BY28" s="9"/>
      <c r="BZ28" s="9"/>
      <c r="CA28" s="9"/>
      <c r="CB28" s="9"/>
      <c r="CC28" s="11"/>
      <c r="CD28" s="10"/>
      <c r="CE28" s="10"/>
      <c r="CF28" s="10"/>
      <c r="CG28" s="10"/>
      <c r="CH28" s="10"/>
      <c r="CI28" s="10"/>
      <c r="CJ28" s="21"/>
      <c r="CK28" s="20"/>
      <c r="CL28" s="10"/>
      <c r="CM28" s="11"/>
      <c r="CN28" s="24"/>
      <c r="CO28" s="34"/>
      <c r="CP28" s="24"/>
      <c r="CQ28" s="9"/>
      <c r="CR28" s="9"/>
      <c r="CS28" s="9"/>
      <c r="CT28" s="9"/>
      <c r="CU28" s="9"/>
      <c r="CV28" s="9"/>
      <c r="CW28" s="9"/>
      <c r="CX28" s="11"/>
      <c r="CY28" s="10"/>
      <c r="CZ28" s="10"/>
      <c r="DA28" s="10"/>
      <c r="DB28" s="10"/>
      <c r="DC28" s="21"/>
      <c r="DD28" s="20"/>
      <c r="DE28" s="10"/>
      <c r="DF28" s="11"/>
      <c r="DG28" s="24"/>
      <c r="DH28" s="34"/>
    </row>
    <row r="29" spans="1:112">
      <c r="A29" s="9">
        <v>1500</v>
      </c>
      <c r="B29" s="9">
        <v>3200</v>
      </c>
      <c r="C29" s="9">
        <v>25000</v>
      </c>
      <c r="D29" s="9">
        <v>5000</v>
      </c>
      <c r="E29" s="9">
        <v>2700</v>
      </c>
      <c r="F29" s="9">
        <v>1000</v>
      </c>
      <c r="G29" s="9">
        <v>20000</v>
      </c>
      <c r="H29" s="9"/>
      <c r="I29" s="11"/>
      <c r="J29" s="68">
        <v>11000</v>
      </c>
      <c r="K29" s="68">
        <v>1830</v>
      </c>
      <c r="L29" s="68">
        <v>17830</v>
      </c>
      <c r="M29" s="10"/>
      <c r="N29" s="68">
        <v>3000</v>
      </c>
      <c r="O29" s="68">
        <v>10000</v>
      </c>
      <c r="P29" s="10"/>
      <c r="Q29" s="21"/>
      <c r="R29" s="20"/>
      <c r="S29" s="10"/>
      <c r="T29" s="11"/>
      <c r="U29" s="24"/>
      <c r="V29" s="34">
        <v>5000</v>
      </c>
      <c r="W29" s="24"/>
      <c r="X29" s="9">
        <v>6000</v>
      </c>
      <c r="Y29" s="9">
        <v>10000</v>
      </c>
      <c r="Z29" s="9">
        <v>6500</v>
      </c>
      <c r="AA29" s="9">
        <v>2000</v>
      </c>
      <c r="AB29" s="9">
        <v>5300</v>
      </c>
      <c r="AC29" s="9">
        <v>3500</v>
      </c>
      <c r="AD29" s="9">
        <v>12000</v>
      </c>
      <c r="AE29" s="9">
        <v>8500</v>
      </c>
      <c r="AF29" s="9"/>
      <c r="AG29" s="11"/>
      <c r="AH29" s="68">
        <v>31300</v>
      </c>
      <c r="AI29" s="68">
        <v>5000</v>
      </c>
      <c r="AJ29" s="68">
        <v>7000</v>
      </c>
      <c r="AK29" s="68">
        <v>21000</v>
      </c>
      <c r="AL29" s="10"/>
      <c r="AM29" s="10"/>
      <c r="AN29" s="68">
        <v>24000</v>
      </c>
      <c r="AO29" s="68">
        <v>3000</v>
      </c>
      <c r="AP29" s="68">
        <v>14500</v>
      </c>
      <c r="AQ29" s="21"/>
      <c r="AR29" s="20"/>
      <c r="AS29" s="10"/>
      <c r="AT29" s="11"/>
      <c r="AU29" s="24" t="s">
        <v>213</v>
      </c>
      <c r="AV29" s="72"/>
      <c r="AX29" s="9">
        <v>43000</v>
      </c>
      <c r="AY29" s="9">
        <v>1000</v>
      </c>
      <c r="AZ29" s="9">
        <v>6000</v>
      </c>
      <c r="BA29" s="9">
        <v>20000</v>
      </c>
      <c r="BB29" s="9">
        <v>7500</v>
      </c>
      <c r="BC29" s="9">
        <v>50000</v>
      </c>
      <c r="BD29" s="9">
        <v>13000</v>
      </c>
      <c r="BE29" s="9">
        <v>31500</v>
      </c>
      <c r="BF29" s="9"/>
      <c r="BG29" s="11"/>
      <c r="BH29" s="10">
        <v>2000</v>
      </c>
      <c r="BI29" s="10">
        <v>32660</v>
      </c>
      <c r="BJ29" s="10"/>
      <c r="BK29" s="10">
        <v>13000</v>
      </c>
      <c r="BL29" s="10">
        <v>5000</v>
      </c>
      <c r="BM29" s="10"/>
      <c r="BN29" s="21"/>
      <c r="BO29" s="20"/>
      <c r="BP29" s="10"/>
      <c r="BQ29" s="11"/>
      <c r="BR29" s="72"/>
      <c r="BS29" s="72">
        <v>10600</v>
      </c>
      <c r="BU29" s="9"/>
      <c r="BV29" s="9"/>
      <c r="BW29" s="9"/>
      <c r="BX29" s="9"/>
      <c r="BY29" s="9"/>
      <c r="BZ29" s="9"/>
      <c r="CA29" s="9"/>
      <c r="CB29" s="9"/>
      <c r="CC29" s="11"/>
      <c r="CD29" s="10"/>
      <c r="CE29" s="10"/>
      <c r="CF29" s="10"/>
      <c r="CG29" s="10"/>
      <c r="CH29" s="10"/>
      <c r="CI29" s="10"/>
      <c r="CJ29" s="21"/>
      <c r="CK29" s="20"/>
      <c r="CL29" s="10"/>
      <c r="CM29" s="11"/>
      <c r="CN29" s="24"/>
      <c r="CO29" s="24"/>
      <c r="CP29" s="24"/>
      <c r="CQ29" s="9"/>
      <c r="CR29" s="9"/>
      <c r="CS29" s="9"/>
      <c r="CT29" s="9"/>
      <c r="CU29" s="9"/>
      <c r="CV29" s="9"/>
      <c r="CW29" s="9"/>
      <c r="CX29" s="11"/>
      <c r="CY29" s="10"/>
      <c r="CZ29" s="10"/>
      <c r="DA29" s="10"/>
      <c r="DB29" s="10"/>
      <c r="DC29" s="21"/>
      <c r="DD29" s="20"/>
      <c r="DE29" s="10"/>
      <c r="DF29" s="11"/>
      <c r="DG29" s="24"/>
      <c r="DH29" s="24"/>
    </row>
    <row r="30" spans="1:112">
      <c r="A30" s="9">
        <v>1200</v>
      </c>
      <c r="B30" s="9">
        <v>4000</v>
      </c>
      <c r="C30" s="9">
        <v>10000</v>
      </c>
      <c r="D30" s="9">
        <v>4000</v>
      </c>
      <c r="E30" s="9">
        <v>4000</v>
      </c>
      <c r="F30" s="9">
        <v>4500</v>
      </c>
      <c r="G30" s="9">
        <v>60000</v>
      </c>
      <c r="H30" s="9"/>
      <c r="I30" s="11"/>
      <c r="J30" s="68">
        <v>2000</v>
      </c>
      <c r="K30" s="68">
        <v>5000</v>
      </c>
      <c r="L30" s="68">
        <v>24000</v>
      </c>
      <c r="M30" s="10"/>
      <c r="N30" s="68">
        <v>6400</v>
      </c>
      <c r="O30" s="68">
        <v>17500</v>
      </c>
      <c r="P30" s="10"/>
      <c r="Q30" s="21"/>
      <c r="R30" s="20"/>
      <c r="S30" s="10"/>
      <c r="T30" s="11"/>
      <c r="U30" s="24"/>
      <c r="V30" s="34">
        <v>13000</v>
      </c>
      <c r="W30" s="24"/>
      <c r="X30" s="9">
        <v>11000</v>
      </c>
      <c r="Y30" s="9">
        <v>6000</v>
      </c>
      <c r="Z30" s="9">
        <v>10000</v>
      </c>
      <c r="AA30" s="9">
        <v>2500</v>
      </c>
      <c r="AB30" s="9">
        <v>4500</v>
      </c>
      <c r="AC30" s="9">
        <v>4500</v>
      </c>
      <c r="AD30" s="9">
        <v>3000</v>
      </c>
      <c r="AE30" s="9">
        <v>15000</v>
      </c>
      <c r="AF30" s="9"/>
      <c r="AG30" s="11"/>
      <c r="AH30" s="68">
        <v>10500</v>
      </c>
      <c r="AI30" s="68">
        <v>63000</v>
      </c>
      <c r="AJ30" s="68">
        <v>40000</v>
      </c>
      <c r="AK30" s="68">
        <v>23500</v>
      </c>
      <c r="AL30" s="10"/>
      <c r="AM30" s="10"/>
      <c r="AN30" s="68">
        <v>4000</v>
      </c>
      <c r="AO30" s="68">
        <v>8500</v>
      </c>
      <c r="AP30" s="68">
        <v>8000</v>
      </c>
      <c r="AQ30" s="21"/>
      <c r="AR30" s="20" t="s">
        <v>50</v>
      </c>
      <c r="AS30" s="10">
        <v>400000</v>
      </c>
      <c r="AT30" s="11"/>
      <c r="AU30" s="24" t="s">
        <v>214</v>
      </c>
      <c r="AV30" s="72">
        <v>5000</v>
      </c>
      <c r="AX30" s="9">
        <v>12000</v>
      </c>
      <c r="AY30" s="9">
        <v>7000</v>
      </c>
      <c r="AZ30" s="9">
        <v>10000</v>
      </c>
      <c r="BA30" s="9">
        <v>2500</v>
      </c>
      <c r="BB30" s="9">
        <v>11200</v>
      </c>
      <c r="BC30" s="9">
        <v>4500</v>
      </c>
      <c r="BD30" s="9">
        <v>4600</v>
      </c>
      <c r="BE30" s="9">
        <v>9100</v>
      </c>
      <c r="BF30" s="9"/>
      <c r="BG30" s="11"/>
      <c r="BH30" s="10">
        <v>60500</v>
      </c>
      <c r="BI30" s="10">
        <v>13160</v>
      </c>
      <c r="BJ30" s="10"/>
      <c r="BK30" s="10">
        <v>1500</v>
      </c>
      <c r="BL30" s="10">
        <v>3700</v>
      </c>
      <c r="BM30" s="10"/>
      <c r="BN30" s="21"/>
      <c r="BO30" s="20"/>
      <c r="BP30" s="10"/>
      <c r="BQ30" s="11"/>
      <c r="BR30" s="72"/>
      <c r="BS30" s="72">
        <v>30000</v>
      </c>
      <c r="BU30" s="9"/>
      <c r="BV30" s="9"/>
      <c r="BW30" s="9"/>
      <c r="BX30" s="9"/>
      <c r="BY30" s="9"/>
      <c r="BZ30" s="9"/>
      <c r="CA30" s="9"/>
      <c r="CB30" s="9"/>
      <c r="CC30" s="11"/>
      <c r="CD30" s="10"/>
      <c r="CE30" s="10"/>
      <c r="CF30" s="10"/>
      <c r="CG30" s="10"/>
      <c r="CH30" s="10"/>
      <c r="CI30" s="10"/>
      <c r="CJ30" s="21"/>
      <c r="CK30" s="20"/>
      <c r="CL30" s="10"/>
      <c r="CM30" s="11"/>
      <c r="CN30" s="24"/>
      <c r="CO30" s="24"/>
      <c r="CP30" s="24"/>
      <c r="CQ30" s="9"/>
      <c r="CR30" s="9"/>
      <c r="CS30" s="9"/>
      <c r="CT30" s="9"/>
      <c r="CU30" s="9"/>
      <c r="CV30" s="9"/>
      <c r="CW30" s="9"/>
      <c r="CX30" s="11"/>
      <c r="CY30" s="10"/>
      <c r="CZ30" s="10"/>
      <c r="DA30" s="10"/>
      <c r="DB30" s="10"/>
      <c r="DC30" s="21"/>
      <c r="DD30" s="20"/>
      <c r="DE30" s="10"/>
      <c r="DF30" s="11"/>
      <c r="DG30" s="24"/>
      <c r="DH30" s="24"/>
    </row>
    <row r="31" spans="1:112">
      <c r="A31" s="9">
        <v>10000</v>
      </c>
      <c r="B31" s="9">
        <v>1500</v>
      </c>
      <c r="C31" s="9">
        <v>22500</v>
      </c>
      <c r="D31" s="9">
        <v>10000</v>
      </c>
      <c r="E31" s="9">
        <v>1200</v>
      </c>
      <c r="F31" s="9">
        <v>900</v>
      </c>
      <c r="G31" s="9">
        <v>800</v>
      </c>
      <c r="H31" s="9"/>
      <c r="I31" s="11"/>
      <c r="J31" s="68">
        <v>1000</v>
      </c>
      <c r="K31" s="68">
        <v>43000</v>
      </c>
      <c r="L31" s="68">
        <v>20100</v>
      </c>
      <c r="M31" s="10"/>
      <c r="N31" s="68">
        <v>11500</v>
      </c>
      <c r="O31" s="68">
        <v>8000</v>
      </c>
      <c r="P31" s="10"/>
      <c r="Q31" s="21"/>
      <c r="R31" s="20"/>
      <c r="S31" s="10"/>
      <c r="T31" s="11"/>
      <c r="U31" s="24"/>
      <c r="V31" s="34">
        <v>18400</v>
      </c>
      <c r="W31" s="24"/>
      <c r="X31" s="9">
        <v>17500</v>
      </c>
      <c r="Y31" s="9">
        <v>1000</v>
      </c>
      <c r="Z31" s="9">
        <v>9000</v>
      </c>
      <c r="AA31" s="9">
        <v>1500</v>
      </c>
      <c r="AB31" s="9">
        <v>5000</v>
      </c>
      <c r="AC31" s="9">
        <v>1000</v>
      </c>
      <c r="AD31" s="9">
        <v>6000</v>
      </c>
      <c r="AE31" s="9"/>
      <c r="AF31" s="9"/>
      <c r="AG31" s="11"/>
      <c r="AH31" s="68">
        <v>10400</v>
      </c>
      <c r="AI31" s="68">
        <v>470</v>
      </c>
      <c r="AJ31" s="68">
        <v>60000</v>
      </c>
      <c r="AK31" s="68">
        <v>27900</v>
      </c>
      <c r="AL31" s="10"/>
      <c r="AM31" s="10"/>
      <c r="AN31" s="68">
        <v>7500</v>
      </c>
      <c r="AO31" s="68">
        <v>2000</v>
      </c>
      <c r="AP31" s="68">
        <v>6500</v>
      </c>
      <c r="AQ31" s="21"/>
      <c r="AR31" s="20" t="s">
        <v>53</v>
      </c>
      <c r="AS31" s="10">
        <v>400000</v>
      </c>
      <c r="AT31" s="11"/>
      <c r="AU31" s="24" t="s">
        <v>215</v>
      </c>
      <c r="AV31" s="72">
        <v>2000</v>
      </c>
      <c r="AX31" s="9">
        <v>15000</v>
      </c>
      <c r="AY31" s="9">
        <v>2100</v>
      </c>
      <c r="AZ31" s="9">
        <v>16500</v>
      </c>
      <c r="BA31" s="9">
        <v>6500</v>
      </c>
      <c r="BB31" s="9">
        <v>1500</v>
      </c>
      <c r="BC31" s="9">
        <v>59500</v>
      </c>
      <c r="BD31" s="9">
        <v>4500</v>
      </c>
      <c r="BE31" s="9">
        <v>2500</v>
      </c>
      <c r="BF31" s="9"/>
      <c r="BG31" s="11"/>
      <c r="BH31" s="10">
        <v>68000</v>
      </c>
      <c r="BI31" s="10">
        <v>1150</v>
      </c>
      <c r="BJ31" s="10"/>
      <c r="BK31" s="10">
        <v>3500</v>
      </c>
      <c r="BL31" s="10">
        <v>1800</v>
      </c>
      <c r="BM31" s="10"/>
      <c r="BN31" s="21"/>
      <c r="BO31" s="20"/>
      <c r="BP31" s="10"/>
      <c r="BQ31" s="11"/>
      <c r="BR31" s="72"/>
      <c r="BS31" s="72">
        <v>15000</v>
      </c>
      <c r="BU31" s="9"/>
      <c r="BV31" s="9"/>
      <c r="BW31" s="9"/>
      <c r="BX31" s="9"/>
      <c r="BY31" s="9"/>
      <c r="BZ31" s="9"/>
      <c r="CA31" s="9"/>
      <c r="CB31" s="9"/>
      <c r="CC31" s="11"/>
      <c r="CD31" s="10"/>
      <c r="CE31" s="10"/>
      <c r="CF31" s="10"/>
      <c r="CG31" s="10"/>
      <c r="CH31" s="10"/>
      <c r="CI31" s="10"/>
      <c r="CJ31" s="21"/>
      <c r="CK31" s="20"/>
      <c r="CL31" s="10"/>
      <c r="CM31" s="11"/>
      <c r="CN31" s="24"/>
      <c r="CO31" s="24"/>
      <c r="CP31" s="24"/>
      <c r="CQ31" s="9"/>
      <c r="CR31" s="9"/>
      <c r="CS31" s="9"/>
      <c r="CT31" s="9"/>
      <c r="CU31" s="9"/>
      <c r="CV31" s="9"/>
      <c r="CW31" s="9"/>
      <c r="CX31" s="11"/>
      <c r="CY31" s="10"/>
      <c r="CZ31" s="10"/>
      <c r="DA31" s="10"/>
      <c r="DB31" s="10"/>
      <c r="DC31" s="21"/>
      <c r="DD31" s="20"/>
      <c r="DE31" s="10"/>
      <c r="DF31" s="11"/>
      <c r="DG31" s="24"/>
      <c r="DH31" s="24"/>
    </row>
    <row r="32" spans="1:112">
      <c r="A32" s="9">
        <v>2500</v>
      </c>
      <c r="B32" s="9">
        <v>2000</v>
      </c>
      <c r="C32" s="9">
        <v>4000</v>
      </c>
      <c r="D32" s="9">
        <v>1000</v>
      </c>
      <c r="E32" s="9">
        <v>2500</v>
      </c>
      <c r="F32" s="9">
        <v>68000</v>
      </c>
      <c r="G32" s="9">
        <v>1000</v>
      </c>
      <c r="H32" s="9"/>
      <c r="I32" s="11"/>
      <c r="J32" s="68">
        <v>35800</v>
      </c>
      <c r="K32" s="68">
        <v>500</v>
      </c>
      <c r="L32" s="68">
        <v>6500</v>
      </c>
      <c r="M32" s="10"/>
      <c r="N32" s="68">
        <v>2500</v>
      </c>
      <c r="O32" s="68">
        <v>10000</v>
      </c>
      <c r="P32" s="10"/>
      <c r="Q32" s="21"/>
      <c r="R32" s="20" t="s">
        <v>50</v>
      </c>
      <c r="S32" s="10">
        <v>400000</v>
      </c>
      <c r="T32" s="11"/>
      <c r="U32" s="24"/>
      <c r="V32" s="34">
        <v>15000</v>
      </c>
      <c r="W32" s="24"/>
      <c r="X32" s="9">
        <v>2400</v>
      </c>
      <c r="Y32" s="9">
        <v>3500</v>
      </c>
      <c r="Z32" s="9">
        <v>18000</v>
      </c>
      <c r="AA32" s="9">
        <v>18000</v>
      </c>
      <c r="AB32" s="9">
        <v>8000</v>
      </c>
      <c r="AC32" s="9">
        <v>800</v>
      </c>
      <c r="AD32" s="9">
        <v>16500</v>
      </c>
      <c r="AE32" s="9"/>
      <c r="AF32" s="9"/>
      <c r="AG32" s="11"/>
      <c r="AH32" s="68">
        <v>1500</v>
      </c>
      <c r="AI32" s="68">
        <v>14000</v>
      </c>
      <c r="AJ32" s="68">
        <v>1600</v>
      </c>
      <c r="AK32" s="68">
        <v>5500</v>
      </c>
      <c r="AL32" s="10"/>
      <c r="AM32" s="10"/>
      <c r="AN32" s="68">
        <v>82000</v>
      </c>
      <c r="AO32" s="68">
        <v>5000</v>
      </c>
      <c r="AP32" s="68">
        <v>7500</v>
      </c>
      <c r="AQ32" s="21"/>
      <c r="AR32" s="20"/>
      <c r="AS32" s="10"/>
      <c r="AT32" s="11"/>
      <c r="AU32" s="24" t="s">
        <v>216</v>
      </c>
      <c r="AV32" s="72">
        <v>4500</v>
      </c>
      <c r="AX32" s="9">
        <v>5000</v>
      </c>
      <c r="AY32" s="9">
        <v>1500</v>
      </c>
      <c r="AZ32" s="9">
        <v>4500</v>
      </c>
      <c r="BA32" s="9">
        <v>10000</v>
      </c>
      <c r="BB32" s="9">
        <v>3000</v>
      </c>
      <c r="BC32" s="9">
        <v>10000</v>
      </c>
      <c r="BD32" s="9">
        <v>3200</v>
      </c>
      <c r="BE32" s="9">
        <v>31500</v>
      </c>
      <c r="BF32" s="9"/>
      <c r="BG32" s="11"/>
      <c r="BH32" s="10">
        <v>5200</v>
      </c>
      <c r="BI32" s="10">
        <v>77240</v>
      </c>
      <c r="BJ32" s="10"/>
      <c r="BK32" s="10">
        <v>5000</v>
      </c>
      <c r="BL32" s="10">
        <v>1200</v>
      </c>
      <c r="BM32" s="10"/>
      <c r="BN32" s="21"/>
      <c r="BO32" s="20"/>
      <c r="BP32" s="10"/>
      <c r="BQ32" s="11"/>
      <c r="BR32" s="72"/>
      <c r="BS32" s="72"/>
      <c r="BU32" s="9"/>
      <c r="BV32" s="9"/>
      <c r="BW32" s="9"/>
      <c r="BX32" s="9"/>
      <c r="BY32" s="9"/>
      <c r="BZ32" s="9"/>
      <c r="CA32" s="9"/>
      <c r="CB32" s="9"/>
      <c r="CC32" s="11"/>
      <c r="CD32" s="10"/>
      <c r="CE32" s="10"/>
      <c r="CF32" s="10"/>
      <c r="CG32" s="10"/>
      <c r="CH32" s="10"/>
      <c r="CI32" s="10"/>
      <c r="CJ32" s="21"/>
      <c r="CK32" s="20"/>
      <c r="CL32" s="10"/>
      <c r="CM32" s="11"/>
      <c r="CN32" s="24"/>
      <c r="CO32" s="24"/>
      <c r="CP32" s="24"/>
      <c r="CQ32" s="9"/>
      <c r="CR32" s="9"/>
      <c r="CS32" s="9"/>
      <c r="CT32" s="9"/>
      <c r="CU32" s="9"/>
      <c r="CV32" s="9"/>
      <c r="CW32" s="9"/>
      <c r="CX32" s="11"/>
      <c r="CY32" s="10"/>
      <c r="CZ32" s="10"/>
      <c r="DA32" s="10"/>
      <c r="DB32" s="10"/>
      <c r="DC32" s="21"/>
      <c r="DD32" s="20"/>
      <c r="DE32" s="10"/>
      <c r="DF32" s="11"/>
      <c r="DG32" s="24"/>
      <c r="DH32" s="24"/>
    </row>
    <row r="33" spans="1:112">
      <c r="A33" s="9">
        <v>9700</v>
      </c>
      <c r="B33" s="9">
        <v>12000</v>
      </c>
      <c r="C33" s="9">
        <v>6000</v>
      </c>
      <c r="D33" s="9">
        <v>1500</v>
      </c>
      <c r="E33" s="9">
        <v>8000</v>
      </c>
      <c r="F33" s="9">
        <v>19500</v>
      </c>
      <c r="G33" s="9">
        <v>24000</v>
      </c>
      <c r="H33" s="9"/>
      <c r="I33" s="11"/>
      <c r="J33" s="68">
        <v>2500</v>
      </c>
      <c r="K33" s="68">
        <v>8500</v>
      </c>
      <c r="L33" s="68">
        <v>2000</v>
      </c>
      <c r="M33" s="10"/>
      <c r="N33" s="68">
        <v>10000</v>
      </c>
      <c r="O33" s="68">
        <v>3200</v>
      </c>
      <c r="P33" s="10"/>
      <c r="Q33" s="21"/>
      <c r="R33" s="20" t="s">
        <v>53</v>
      </c>
      <c r="S33" s="10">
        <v>400000</v>
      </c>
      <c r="T33" s="11"/>
      <c r="U33" s="24"/>
      <c r="V33" s="34">
        <v>15000</v>
      </c>
      <c r="W33" s="24"/>
      <c r="X33" s="9">
        <v>6500</v>
      </c>
      <c r="Y33" s="9">
        <v>13000</v>
      </c>
      <c r="Z33" s="9">
        <v>5100</v>
      </c>
      <c r="AA33" s="9">
        <v>4100</v>
      </c>
      <c r="AB33" s="9">
        <v>500</v>
      </c>
      <c r="AC33" s="9">
        <v>4000</v>
      </c>
      <c r="AD33" s="9">
        <v>6000</v>
      </c>
      <c r="AE33" s="9"/>
      <c r="AF33" s="9"/>
      <c r="AG33" s="11"/>
      <c r="AH33" s="68">
        <v>4320</v>
      </c>
      <c r="AI33" s="68">
        <v>28500</v>
      </c>
      <c r="AJ33" s="68">
        <v>6720</v>
      </c>
      <c r="AK33" s="68">
        <v>16000</v>
      </c>
      <c r="AL33" s="10"/>
      <c r="AM33" s="10"/>
      <c r="AN33" s="68">
        <v>14000</v>
      </c>
      <c r="AO33" s="68">
        <v>7500</v>
      </c>
      <c r="AP33" s="68">
        <v>54500</v>
      </c>
      <c r="AQ33" s="21"/>
      <c r="AR33" s="20"/>
      <c r="AS33" s="10"/>
      <c r="AT33" s="11"/>
      <c r="AU33" s="24" t="s">
        <v>217</v>
      </c>
      <c r="AV33" s="72">
        <v>4500</v>
      </c>
      <c r="AX33" s="9">
        <v>3500</v>
      </c>
      <c r="AY33" s="9">
        <v>5000</v>
      </c>
      <c r="AZ33" s="9">
        <v>5000</v>
      </c>
      <c r="BA33" s="9">
        <v>6000</v>
      </c>
      <c r="BB33" s="9">
        <v>5000</v>
      </c>
      <c r="BC33" s="9">
        <v>2500</v>
      </c>
      <c r="BD33" s="9">
        <v>5500</v>
      </c>
      <c r="BE33" s="9">
        <v>16500</v>
      </c>
      <c r="BF33" s="9"/>
      <c r="BG33" s="11"/>
      <c r="BH33" s="10">
        <v>14850</v>
      </c>
      <c r="BI33" s="10">
        <v>19310</v>
      </c>
      <c r="BJ33" s="10"/>
      <c r="BK33" s="10">
        <v>21000</v>
      </c>
      <c r="BL33" s="10">
        <v>8500</v>
      </c>
      <c r="BM33" s="10"/>
      <c r="BN33" s="21"/>
      <c r="BO33" s="20"/>
      <c r="BP33" s="10"/>
      <c r="BQ33" s="11"/>
      <c r="BR33" s="24"/>
      <c r="BS33" s="72"/>
      <c r="BU33" s="9"/>
      <c r="BV33" s="9"/>
      <c r="BW33" s="9"/>
      <c r="BX33" s="9"/>
      <c r="BY33" s="9"/>
      <c r="BZ33" s="9"/>
      <c r="CA33" s="9"/>
      <c r="CB33" s="9"/>
      <c r="CC33" s="11"/>
      <c r="CD33" s="10"/>
      <c r="CE33" s="10"/>
      <c r="CF33" s="10"/>
      <c r="CG33" s="10"/>
      <c r="CH33" s="10"/>
      <c r="CI33" s="10"/>
      <c r="CJ33" s="21"/>
      <c r="CK33" s="20"/>
      <c r="CL33" s="10"/>
      <c r="CM33" s="11"/>
      <c r="CN33" s="24"/>
      <c r="CO33" s="24"/>
      <c r="CP33" s="24"/>
      <c r="CQ33" s="9"/>
      <c r="CR33" s="9"/>
      <c r="CS33" s="9"/>
      <c r="CT33" s="9"/>
      <c r="CU33" s="9"/>
      <c r="CV33" s="9"/>
      <c r="CW33" s="9"/>
      <c r="CX33" s="11"/>
      <c r="CY33" s="10"/>
      <c r="CZ33" s="10"/>
      <c r="DA33" s="10"/>
      <c r="DB33" s="10"/>
      <c r="DC33" s="21"/>
      <c r="DD33" s="20"/>
      <c r="DE33" s="10"/>
      <c r="DF33" s="11"/>
      <c r="DG33" s="24"/>
      <c r="DH33" s="24"/>
    </row>
    <row r="34" spans="1:112">
      <c r="A34" s="9">
        <v>4000</v>
      </c>
      <c r="B34" s="9">
        <v>5000</v>
      </c>
      <c r="C34" s="9">
        <v>1500</v>
      </c>
      <c r="D34" s="9">
        <v>25000</v>
      </c>
      <c r="E34" s="9">
        <v>2500</v>
      </c>
      <c r="F34" s="9">
        <v>5500</v>
      </c>
      <c r="G34" s="9">
        <v>15000</v>
      </c>
      <c r="H34" s="9"/>
      <c r="I34" s="11"/>
      <c r="J34" s="68">
        <v>15850</v>
      </c>
      <c r="K34" s="68">
        <v>4000</v>
      </c>
      <c r="L34" s="68">
        <v>2500</v>
      </c>
      <c r="M34" s="10"/>
      <c r="N34" s="68">
        <v>11500</v>
      </c>
      <c r="O34" s="68">
        <v>10000</v>
      </c>
      <c r="P34" s="10"/>
      <c r="Q34" s="21"/>
      <c r="R34" s="20"/>
      <c r="S34" s="10"/>
      <c r="T34" s="11"/>
      <c r="U34" s="24"/>
      <c r="V34" s="34">
        <v>666185</v>
      </c>
      <c r="W34" s="24"/>
      <c r="X34" s="9">
        <v>12000</v>
      </c>
      <c r="Y34" s="9">
        <v>6000</v>
      </c>
      <c r="Z34" s="9">
        <v>6000</v>
      </c>
      <c r="AA34" s="9">
        <v>1800</v>
      </c>
      <c r="AB34" s="9">
        <v>28900</v>
      </c>
      <c r="AC34" s="9">
        <v>9250</v>
      </c>
      <c r="AD34" s="9">
        <v>3500</v>
      </c>
      <c r="AE34" s="9"/>
      <c r="AF34" s="9"/>
      <c r="AG34" s="11"/>
      <c r="AH34" s="68">
        <v>8000</v>
      </c>
      <c r="AI34" s="68">
        <v>2600</v>
      </c>
      <c r="AJ34" s="68">
        <v>7000</v>
      </c>
      <c r="AK34" s="68">
        <v>12000</v>
      </c>
      <c r="AL34" s="10"/>
      <c r="AM34" s="10"/>
      <c r="AN34" s="68">
        <v>6000</v>
      </c>
      <c r="AO34" s="68">
        <v>30500</v>
      </c>
      <c r="AP34" s="68">
        <v>2350</v>
      </c>
      <c r="AQ34" s="21"/>
      <c r="AR34" s="20"/>
      <c r="AS34" s="10"/>
      <c r="AT34" s="11"/>
      <c r="AU34" s="24"/>
      <c r="AV34" s="72"/>
      <c r="AX34" s="9">
        <v>1500</v>
      </c>
      <c r="AY34" s="9">
        <v>4000</v>
      </c>
      <c r="AZ34" s="9">
        <v>5000</v>
      </c>
      <c r="BA34" s="9">
        <v>6000</v>
      </c>
      <c r="BB34" s="9">
        <v>12000</v>
      </c>
      <c r="BC34" s="9">
        <v>500</v>
      </c>
      <c r="BD34" s="9">
        <v>6000</v>
      </c>
      <c r="BE34" s="9"/>
      <c r="BF34" s="9"/>
      <c r="BG34" s="11"/>
      <c r="BH34" s="10">
        <v>3650</v>
      </c>
      <c r="BI34" s="10">
        <v>67000</v>
      </c>
      <c r="BJ34" s="10"/>
      <c r="BK34" s="10">
        <v>20000</v>
      </c>
      <c r="BL34" s="10">
        <v>1600</v>
      </c>
      <c r="BM34" s="10"/>
      <c r="BN34" s="21"/>
      <c r="BO34" s="20"/>
      <c r="BP34" s="10"/>
      <c r="BQ34" s="11"/>
      <c r="BR34" s="24" t="s">
        <v>213</v>
      </c>
      <c r="BS34" s="72">
        <v>1000</v>
      </c>
      <c r="BU34" s="9"/>
      <c r="BV34" s="9"/>
      <c r="BW34" s="9"/>
      <c r="BX34" s="9"/>
      <c r="BY34" s="9"/>
      <c r="BZ34" s="9"/>
      <c r="CA34" s="9"/>
      <c r="CB34" s="9"/>
      <c r="CC34" s="11"/>
      <c r="CD34" s="10"/>
      <c r="CE34" s="10"/>
      <c r="CF34" s="10"/>
      <c r="CG34" s="10"/>
      <c r="CH34" s="10"/>
      <c r="CI34" s="10"/>
      <c r="CJ34" s="21"/>
      <c r="CK34" s="20"/>
      <c r="CL34" s="10"/>
      <c r="CM34" s="11"/>
      <c r="CN34" s="24"/>
      <c r="CO34" s="34"/>
      <c r="CP34" s="24"/>
      <c r="CQ34" s="9"/>
      <c r="CR34" s="9"/>
      <c r="CS34" s="9"/>
      <c r="CT34" s="9"/>
      <c r="CU34" s="9"/>
      <c r="CV34" s="9"/>
      <c r="CW34" s="9"/>
      <c r="CX34" s="11"/>
      <c r="CY34" s="10"/>
      <c r="CZ34" s="10"/>
      <c r="DA34" s="10"/>
      <c r="DB34" s="10"/>
      <c r="DC34" s="21"/>
      <c r="DD34" s="20"/>
      <c r="DE34" s="10"/>
      <c r="DF34" s="11"/>
      <c r="DG34" s="24"/>
      <c r="DH34" s="34"/>
    </row>
    <row r="35" spans="1:112">
      <c r="A35" s="9">
        <v>1000</v>
      </c>
      <c r="B35" s="9">
        <v>5700</v>
      </c>
      <c r="C35" s="9">
        <v>2500</v>
      </c>
      <c r="D35" s="9">
        <v>3200</v>
      </c>
      <c r="E35" s="9">
        <v>16000</v>
      </c>
      <c r="F35" s="9">
        <v>16000</v>
      </c>
      <c r="G35" s="9">
        <v>2500</v>
      </c>
      <c r="H35" s="9"/>
      <c r="I35" s="11"/>
      <c r="J35" s="68">
        <v>3800</v>
      </c>
      <c r="K35" s="68">
        <v>25800</v>
      </c>
      <c r="L35" s="68">
        <v>4800</v>
      </c>
      <c r="M35" s="10"/>
      <c r="N35" s="68">
        <v>2500</v>
      </c>
      <c r="O35" s="68">
        <v>4500</v>
      </c>
      <c r="P35" s="10"/>
      <c r="Q35" s="21"/>
      <c r="R35" s="20"/>
      <c r="S35" s="10"/>
      <c r="T35" s="11"/>
      <c r="U35" s="24"/>
      <c r="V35" s="72">
        <v>10600</v>
      </c>
      <c r="W35" s="24"/>
      <c r="X35" s="9">
        <v>7000</v>
      </c>
      <c r="Y35" s="9">
        <v>5000</v>
      </c>
      <c r="Z35" s="9">
        <v>2500</v>
      </c>
      <c r="AA35" s="9">
        <v>3200</v>
      </c>
      <c r="AB35" s="9">
        <v>3500</v>
      </c>
      <c r="AC35" s="9">
        <v>600</v>
      </c>
      <c r="AD35" s="9">
        <v>2500</v>
      </c>
      <c r="AE35" s="9"/>
      <c r="AF35" s="9"/>
      <c r="AG35" s="11"/>
      <c r="AH35" s="68">
        <v>12000</v>
      </c>
      <c r="AI35" s="68">
        <v>12000</v>
      </c>
      <c r="AJ35" s="68">
        <v>3000</v>
      </c>
      <c r="AK35" s="68">
        <v>44500</v>
      </c>
      <c r="AL35" s="10"/>
      <c r="AM35" s="10"/>
      <c r="AN35" s="68">
        <v>10000</v>
      </c>
      <c r="AO35" s="68">
        <v>3800</v>
      </c>
      <c r="AP35" s="68">
        <v>31000</v>
      </c>
      <c r="AQ35" s="21"/>
      <c r="AR35" s="20"/>
      <c r="AS35" s="10"/>
      <c r="AT35" s="11"/>
      <c r="AU35" s="24"/>
      <c r="AV35" s="72"/>
      <c r="AX35" s="9">
        <v>800</v>
      </c>
      <c r="AY35" s="9">
        <v>13000</v>
      </c>
      <c r="AZ35" s="9">
        <v>1000</v>
      </c>
      <c r="BA35" s="9">
        <v>3500</v>
      </c>
      <c r="BB35" s="9">
        <v>16200</v>
      </c>
      <c r="BC35" s="9">
        <v>36000</v>
      </c>
      <c r="BD35" s="9">
        <v>3000</v>
      </c>
      <c r="BE35" s="9"/>
      <c r="BF35" s="9"/>
      <c r="BG35" s="11"/>
      <c r="BH35" s="10">
        <v>7200</v>
      </c>
      <c r="BI35" s="10">
        <v>5770</v>
      </c>
      <c r="BJ35" s="10"/>
      <c r="BK35" s="10">
        <v>14500</v>
      </c>
      <c r="BL35" s="10">
        <v>4500</v>
      </c>
      <c r="BM35" s="10"/>
      <c r="BN35" s="21"/>
      <c r="BO35" s="20"/>
      <c r="BP35" s="10"/>
      <c r="BQ35" s="11"/>
      <c r="BR35" s="24"/>
      <c r="BS35" s="72">
        <v>6500</v>
      </c>
      <c r="BU35" s="9"/>
      <c r="BV35" s="9"/>
      <c r="BW35" s="9"/>
      <c r="BX35" s="9"/>
      <c r="BY35" s="9"/>
      <c r="BZ35" s="9"/>
      <c r="CA35" s="9"/>
      <c r="CB35" s="9"/>
      <c r="CC35" s="11"/>
      <c r="CD35" s="10"/>
      <c r="CE35" s="10"/>
      <c r="CF35" s="10"/>
      <c r="CG35" s="10"/>
      <c r="CH35" s="10"/>
      <c r="CI35" s="10"/>
      <c r="CJ35" s="21"/>
      <c r="CK35" s="20"/>
      <c r="CL35" s="10"/>
      <c r="CM35" s="11"/>
      <c r="CN35" s="24"/>
      <c r="CO35" s="24"/>
      <c r="CP35" s="24"/>
      <c r="CQ35" s="9"/>
      <c r="CR35" s="9"/>
      <c r="CS35" s="9"/>
      <c r="CT35" s="9"/>
      <c r="CU35" s="9"/>
      <c r="CV35" s="9"/>
      <c r="CW35" s="9"/>
      <c r="CX35" s="11"/>
      <c r="CY35" s="10"/>
      <c r="CZ35" s="10"/>
      <c r="DA35" s="10"/>
      <c r="DB35" s="10"/>
      <c r="DC35" s="21"/>
      <c r="DD35" s="20"/>
      <c r="DE35" s="10"/>
      <c r="DF35" s="11"/>
      <c r="DG35" s="24"/>
      <c r="DH35" s="24"/>
    </row>
    <row r="36" spans="16:86">
      <c r="P36" s="4"/>
      <c r="BI36" s="35"/>
      <c r="BJ36" s="35"/>
      <c r="BK36" s="35"/>
      <c r="BL36" s="36"/>
      <c r="BM36" s="35"/>
      <c r="BN36" s="35"/>
      <c r="BO36" s="35"/>
      <c r="CH36" s="4"/>
    </row>
  </sheetData>
  <mergeCells count="61">
    <mergeCell ref="J1:P1"/>
    <mergeCell ref="R1:S1"/>
    <mergeCell ref="AH1:AP1"/>
    <mergeCell ref="AR1:AS1"/>
    <mergeCell ref="BH1:BM1"/>
    <mergeCell ref="BO1:BP1"/>
    <mergeCell ref="CD1:CI1"/>
    <mergeCell ref="CK1:CL1"/>
    <mergeCell ref="CY1:DB1"/>
    <mergeCell ref="DD1:DE1"/>
    <mergeCell ref="U1:U2"/>
    <mergeCell ref="U3:U4"/>
    <mergeCell ref="U5:U6"/>
    <mergeCell ref="U7:U8"/>
    <mergeCell ref="V1:V2"/>
    <mergeCell ref="V3:V4"/>
    <mergeCell ref="V5:V6"/>
    <mergeCell ref="V7:V8"/>
    <mergeCell ref="AU1:AU2"/>
    <mergeCell ref="AU3:AU4"/>
    <mergeCell ref="AU5:AU6"/>
    <mergeCell ref="AU7:AU8"/>
    <mergeCell ref="AV1:AV2"/>
    <mergeCell ref="AV3:AV4"/>
    <mergeCell ref="AV5:AV6"/>
    <mergeCell ref="AV7:AV8"/>
    <mergeCell ref="BR1:BR2"/>
    <mergeCell ref="BR3:BR4"/>
    <mergeCell ref="BR5:BR6"/>
    <mergeCell ref="BR7:BR8"/>
    <mergeCell ref="BS1:BS2"/>
    <mergeCell ref="BS3:BS4"/>
    <mergeCell ref="BS5:BS6"/>
    <mergeCell ref="BS7:BS8"/>
    <mergeCell ref="CN1:CN2"/>
    <mergeCell ref="CN3:CN4"/>
    <mergeCell ref="CN5:CN6"/>
    <mergeCell ref="CN7:CN8"/>
    <mergeCell ref="CO1:CO2"/>
    <mergeCell ref="CO3:CO4"/>
    <mergeCell ref="CO5:CO6"/>
    <mergeCell ref="CO7:CO8"/>
    <mergeCell ref="DG1:DG2"/>
    <mergeCell ref="DG3:DG4"/>
    <mergeCell ref="DG5:DG6"/>
    <mergeCell ref="DG7:DG8"/>
    <mergeCell ref="DH1:DH2"/>
    <mergeCell ref="DH3:DH4"/>
    <mergeCell ref="DH5:DH6"/>
    <mergeCell ref="DH7:DH8"/>
    <mergeCell ref="DJ1:DM2"/>
    <mergeCell ref="DJ3:DK4"/>
    <mergeCell ref="DL3:DM4"/>
    <mergeCell ref="DJ5:DK6"/>
    <mergeCell ref="DL5:DM6"/>
    <mergeCell ref="DJ11:DK12"/>
    <mergeCell ref="DL11:DM12"/>
    <mergeCell ref="DJ7:DK8"/>
    <mergeCell ref="DL7:DM8"/>
    <mergeCell ref="DJ9:DK10"/>
    <mergeCell ref="DL9:DM10"/>
  </mergeCells>
  <pageMargins left="0.7" right="0.7" top="0.75" bottom="0.75" header="0.3" footer="0.3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36"/>
  <sheetViews>
    <sheetView zoomScale="83" zoomScaleNormal="83" workbookViewId="0">
      <pane xSplit="16530" topLeftCell="CR1" activePane="topLeft"/>
      <selection activeCell="B6" sqref="B6"/>
      <selection pane="topRight"/>
    </sheetView>
  </sheetViews>
  <sheetFormatPr defaultColWidth="11" defaultRowHeight="14.4"/>
  <cols>
    <col min="1" max="7" width="11.712962962963" customWidth="1"/>
    <col min="8" max="8" width="1.71296296296296" customWidth="1"/>
    <col min="9" max="12" width="11.712962962963" customWidth="1"/>
    <col min="13" max="13" width="1.71296296296296" customWidth="1"/>
    <col min="14" max="15" width="11.712962962963" customWidth="1"/>
    <col min="16" max="16" width="1.71296296296296" customWidth="1"/>
    <col min="17" max="17" width="11.712962962963" customWidth="1"/>
    <col min="18" max="18" width="14.1388888888889" customWidth="1"/>
    <col min="20" max="20" width="12.4259259259259" customWidth="1"/>
    <col min="21" max="21" width="11.1388888888889" customWidth="1"/>
    <col min="22" max="23" width="11" customWidth="1"/>
    <col min="24" max="24" width="13" customWidth="1"/>
    <col min="25" max="25" width="13.1388888888889" customWidth="1"/>
    <col min="26" max="26" width="12.8518518518519" customWidth="1"/>
    <col min="27" max="27" width="1.71296296296296" customWidth="1"/>
    <col min="28" max="28" width="10" customWidth="1"/>
    <col min="29" max="29" width="12" customWidth="1"/>
    <col min="30" max="30" width="13.712962962963" customWidth="1"/>
    <col min="31" max="31" width="12.1388888888889" customWidth="1"/>
    <col min="32" max="32" width="1.71296296296296" customWidth="1"/>
    <col min="33" max="33" width="12" customWidth="1"/>
    <col min="34" max="34" width="10.1388888888889" customWidth="1"/>
    <col min="35" max="35" width="1.71296296296296" customWidth="1"/>
    <col min="36" max="36" width="15.1388888888889" customWidth="1"/>
    <col min="39" max="45" width="11.712962962963" customWidth="1"/>
    <col min="46" max="46" width="1.71296296296296" customWidth="1"/>
    <col min="47" max="50" width="11.712962962963" customWidth="1"/>
    <col min="51" max="51" width="1.71296296296296" customWidth="1"/>
    <col min="52" max="53" width="11.712962962963" customWidth="1"/>
    <col min="54" max="54" width="1.71296296296296" customWidth="1"/>
    <col min="55" max="56" width="11.712962962963" customWidth="1"/>
    <col min="58" max="64" width="11.712962962963" customWidth="1"/>
    <col min="65" max="65" width="1.71296296296296" customWidth="1"/>
    <col min="66" max="69" width="11.712962962963" customWidth="1"/>
    <col min="70" max="70" width="1.71296296296296" customWidth="1"/>
    <col min="71" max="72" width="11.712962962963" customWidth="1"/>
    <col min="73" max="73" width="1.71296296296296" customWidth="1"/>
    <col min="74" max="75" width="11.712962962963" customWidth="1"/>
    <col min="77" max="83" width="11.712962962963" customWidth="1"/>
    <col min="84" max="84" width="1.71296296296296" customWidth="1"/>
    <col min="85" max="88" width="11.712962962963" customWidth="1"/>
    <col min="89" max="89" width="1.71296296296296" customWidth="1"/>
    <col min="90" max="91" width="11.712962962963" customWidth="1"/>
    <col min="92" max="92" width="1.71296296296296" customWidth="1"/>
    <col min="93" max="94" width="11.712962962963" customWidth="1"/>
    <col min="95" max="95" width="9.42592592592593" customWidth="1"/>
    <col min="96" max="96" width="8.28703703703704" customWidth="1"/>
    <col min="97" max="97" width="7.13888888888889" customWidth="1"/>
    <col min="98" max="98" width="6.85185185185185" customWidth="1"/>
    <col min="99" max="99" width="17.5740740740741" customWidth="1"/>
  </cols>
  <sheetData>
    <row r="1" ht="15" customHeight="1" spans="1:99">
      <c r="A1" s="9"/>
      <c r="B1" s="10"/>
      <c r="C1" s="10"/>
      <c r="D1" s="10"/>
      <c r="E1" s="10"/>
      <c r="F1" s="10"/>
      <c r="G1" s="10"/>
      <c r="H1" s="11"/>
      <c r="I1" s="13" t="s">
        <v>0</v>
      </c>
      <c r="J1" s="14"/>
      <c r="K1" s="14"/>
      <c r="L1" s="15"/>
      <c r="M1" s="11"/>
      <c r="N1" s="16" t="s">
        <v>1</v>
      </c>
      <c r="O1" s="17"/>
      <c r="P1" s="11"/>
      <c r="Q1" s="22" t="s">
        <v>2</v>
      </c>
      <c r="R1" s="23"/>
      <c r="S1" s="24"/>
      <c r="T1" s="10"/>
      <c r="U1" s="10"/>
      <c r="V1" s="10"/>
      <c r="W1" s="10"/>
      <c r="X1" s="10"/>
      <c r="Y1" s="10"/>
      <c r="Z1" s="10"/>
      <c r="AA1" s="11"/>
      <c r="AB1" s="13" t="s">
        <v>0</v>
      </c>
      <c r="AC1" s="14"/>
      <c r="AD1" s="14"/>
      <c r="AE1" s="15"/>
      <c r="AF1" s="11"/>
      <c r="AG1" s="16" t="s">
        <v>1</v>
      </c>
      <c r="AH1" s="17"/>
      <c r="AI1" s="11"/>
      <c r="AJ1" s="22" t="s">
        <v>2</v>
      </c>
      <c r="AK1" s="23"/>
      <c r="AM1" s="10"/>
      <c r="AN1" s="10"/>
      <c r="AO1" s="10"/>
      <c r="AP1" s="10"/>
      <c r="AQ1" s="10"/>
      <c r="AR1" s="10"/>
      <c r="AS1" s="10"/>
      <c r="AT1" s="11"/>
      <c r="AU1" s="13" t="s">
        <v>0</v>
      </c>
      <c r="AV1" s="14"/>
      <c r="AW1" s="14"/>
      <c r="AX1" s="15"/>
      <c r="AY1" s="11"/>
      <c r="AZ1" s="16" t="s">
        <v>1</v>
      </c>
      <c r="BA1" s="17"/>
      <c r="BB1" s="11"/>
      <c r="BC1" s="22" t="s">
        <v>2</v>
      </c>
      <c r="BD1" s="23"/>
      <c r="BF1" s="10"/>
      <c r="BG1" s="10"/>
      <c r="BH1" s="10"/>
      <c r="BI1" s="10"/>
      <c r="BJ1" s="10"/>
      <c r="BK1" s="10"/>
      <c r="BL1" s="10"/>
      <c r="BM1" s="11"/>
      <c r="BN1" s="13" t="s">
        <v>0</v>
      </c>
      <c r="BO1" s="14"/>
      <c r="BP1" s="14"/>
      <c r="BQ1" s="15"/>
      <c r="BR1" s="11"/>
      <c r="BS1" s="16" t="s">
        <v>1</v>
      </c>
      <c r="BT1" s="17"/>
      <c r="BU1" s="11"/>
      <c r="BV1" s="22" t="s">
        <v>2</v>
      </c>
      <c r="BW1" s="23"/>
      <c r="BY1" s="10"/>
      <c r="BZ1" s="10"/>
      <c r="CA1" s="10"/>
      <c r="CB1" s="10"/>
      <c r="CC1" s="10"/>
      <c r="CD1" s="10"/>
      <c r="CE1" s="10"/>
      <c r="CF1" s="11"/>
      <c r="CG1" s="13" t="s">
        <v>0</v>
      </c>
      <c r="CH1" s="14"/>
      <c r="CI1" s="14"/>
      <c r="CJ1" s="15"/>
      <c r="CK1" s="11"/>
      <c r="CL1" s="16" t="s">
        <v>1</v>
      </c>
      <c r="CM1" s="17"/>
      <c r="CN1" s="11"/>
      <c r="CO1" s="22" t="s">
        <v>2</v>
      </c>
      <c r="CP1" s="23"/>
      <c r="CR1" s="37" t="s">
        <v>3</v>
      </c>
      <c r="CS1" s="45"/>
      <c r="CT1" s="45"/>
      <c r="CU1" s="46"/>
    </row>
    <row r="2" ht="15" customHeight="1" spans="1:99">
      <c r="A2" s="9"/>
      <c r="B2" s="12"/>
      <c r="C2" s="12"/>
      <c r="D2" s="12"/>
      <c r="E2" s="12"/>
      <c r="F2" s="12"/>
      <c r="G2" s="12"/>
      <c r="H2" s="11"/>
      <c r="J2" s="10"/>
      <c r="K2" s="10"/>
      <c r="M2" s="11"/>
      <c r="N2" s="18" t="s">
        <v>218</v>
      </c>
      <c r="O2" s="10"/>
      <c r="P2" s="11"/>
      <c r="Q2" s="25"/>
      <c r="R2" s="26"/>
      <c r="S2" s="24"/>
      <c r="T2" s="12"/>
      <c r="U2" s="12"/>
      <c r="V2" s="12"/>
      <c r="W2" s="12"/>
      <c r="X2" s="12"/>
      <c r="Y2" s="12"/>
      <c r="Z2" s="12"/>
      <c r="AA2" s="11"/>
      <c r="AB2" s="10"/>
      <c r="AC2" s="10"/>
      <c r="AD2" s="10"/>
      <c r="AE2" s="10"/>
      <c r="AF2" s="11"/>
      <c r="AG2" s="18"/>
      <c r="AH2" s="10"/>
      <c r="AI2" s="11"/>
      <c r="AJ2" s="25"/>
      <c r="AK2" s="26"/>
      <c r="AM2" s="12"/>
      <c r="AN2" s="12"/>
      <c r="AO2" s="12"/>
      <c r="AP2" s="12"/>
      <c r="AQ2" s="12"/>
      <c r="AR2" s="12"/>
      <c r="AS2" s="12"/>
      <c r="AT2" s="11"/>
      <c r="AU2" s="10"/>
      <c r="AV2" s="10"/>
      <c r="AW2" s="10"/>
      <c r="AX2" s="10"/>
      <c r="AY2" s="11"/>
      <c r="AZ2" s="18"/>
      <c r="BA2" s="10"/>
      <c r="BB2" s="11"/>
      <c r="BC2" s="25"/>
      <c r="BD2" s="26"/>
      <c r="BF2" s="12"/>
      <c r="BG2" s="12"/>
      <c r="BH2" s="12"/>
      <c r="BI2" s="12"/>
      <c r="BJ2" s="12"/>
      <c r="BK2" s="12"/>
      <c r="BL2" s="12"/>
      <c r="BM2" s="11"/>
      <c r="BN2" s="10"/>
      <c r="BO2" s="10"/>
      <c r="BP2" s="10"/>
      <c r="BQ2" s="10"/>
      <c r="BR2" s="11"/>
      <c r="BS2" s="18"/>
      <c r="BT2" s="10"/>
      <c r="BU2" s="11"/>
      <c r="BV2" s="25"/>
      <c r="BW2" s="26"/>
      <c r="BY2" s="12"/>
      <c r="BZ2" s="12"/>
      <c r="CA2" s="12"/>
      <c r="CB2" s="12"/>
      <c r="CC2" s="12"/>
      <c r="CD2" s="12"/>
      <c r="CE2" s="12"/>
      <c r="CF2" s="11"/>
      <c r="CG2" s="10"/>
      <c r="CH2" s="10"/>
      <c r="CI2" s="10"/>
      <c r="CJ2" s="10"/>
      <c r="CK2" s="11"/>
      <c r="CL2" s="18"/>
      <c r="CM2" s="10"/>
      <c r="CN2" s="11"/>
      <c r="CO2" s="25"/>
      <c r="CP2" s="26"/>
      <c r="CR2" s="38"/>
      <c r="CS2" s="47"/>
      <c r="CT2" s="47"/>
      <c r="CU2" s="48"/>
    </row>
    <row r="3" ht="15" customHeight="1" spans="1:99">
      <c r="A3" s="9"/>
      <c r="B3" s="9"/>
      <c r="C3" s="9"/>
      <c r="D3" s="9"/>
      <c r="E3" s="9"/>
      <c r="F3" s="9"/>
      <c r="G3" s="9"/>
      <c r="H3" s="11"/>
      <c r="J3" s="10"/>
      <c r="K3" s="10"/>
      <c r="L3" s="10"/>
      <c r="M3" s="19"/>
      <c r="P3" s="11">
        <v>1</v>
      </c>
      <c r="Q3" s="27" t="s">
        <v>9</v>
      </c>
      <c r="R3" s="23">
        <f>SUM(A1:H35)</f>
        <v>0</v>
      </c>
      <c r="S3" s="24"/>
      <c r="T3" s="9"/>
      <c r="U3" s="9"/>
      <c r="V3" s="9"/>
      <c r="W3" s="9"/>
      <c r="X3" s="9"/>
      <c r="Y3" s="9"/>
      <c r="Z3" s="9"/>
      <c r="AA3" s="11"/>
      <c r="AB3" s="10"/>
      <c r="AC3" s="10"/>
      <c r="AD3" s="10"/>
      <c r="AE3" s="10"/>
      <c r="AF3" s="19"/>
      <c r="AG3" s="20"/>
      <c r="AH3" s="10"/>
      <c r="AI3" s="11">
        <v>1</v>
      </c>
      <c r="AJ3" s="27" t="s">
        <v>9</v>
      </c>
      <c r="AK3" s="23">
        <f>SUM(T1:AA35)</f>
        <v>0</v>
      </c>
      <c r="AM3" s="9"/>
      <c r="AN3" s="9"/>
      <c r="AO3" s="9"/>
      <c r="AP3" s="9"/>
      <c r="AQ3" s="9"/>
      <c r="AR3" s="9"/>
      <c r="AS3" s="9"/>
      <c r="AT3" s="11"/>
      <c r="AU3" s="10"/>
      <c r="AV3" s="10"/>
      <c r="AW3" s="10"/>
      <c r="AX3" s="10"/>
      <c r="AY3" s="19"/>
      <c r="AZ3" s="20"/>
      <c r="BA3" s="10"/>
      <c r="BB3" s="11">
        <v>1</v>
      </c>
      <c r="BC3" s="27" t="s">
        <v>9</v>
      </c>
      <c r="BD3" s="23">
        <f>SUM(AM1:AT35)</f>
        <v>0</v>
      </c>
      <c r="BF3" s="9"/>
      <c r="BG3" s="9"/>
      <c r="BH3" s="9"/>
      <c r="BI3" s="9"/>
      <c r="BJ3" s="9"/>
      <c r="BK3" s="9"/>
      <c r="BL3" s="9"/>
      <c r="BM3" s="11"/>
      <c r="BN3" s="10"/>
      <c r="BO3" s="10"/>
      <c r="BP3" s="10"/>
      <c r="BQ3" s="10"/>
      <c r="BR3" s="19"/>
      <c r="BS3" s="20"/>
      <c r="BT3" s="10"/>
      <c r="BU3" s="11">
        <v>1</v>
      </c>
      <c r="BV3" s="27" t="s">
        <v>9</v>
      </c>
      <c r="BW3" s="23">
        <f>SUM(BF1:BM35)</f>
        <v>0</v>
      </c>
      <c r="BY3" s="9"/>
      <c r="BZ3" s="9"/>
      <c r="CA3" s="9"/>
      <c r="CB3" s="9"/>
      <c r="CC3" s="9"/>
      <c r="CD3" s="9"/>
      <c r="CE3" s="9"/>
      <c r="CF3" s="11"/>
      <c r="CG3" s="10"/>
      <c r="CH3" s="10"/>
      <c r="CI3" s="10"/>
      <c r="CJ3" s="10"/>
      <c r="CK3" s="19"/>
      <c r="CL3" s="20"/>
      <c r="CM3" s="10"/>
      <c r="CN3" s="11">
        <v>1</v>
      </c>
      <c r="CO3" s="27" t="s">
        <v>9</v>
      </c>
      <c r="CP3" s="23">
        <f>SUM(BY1:CF35)</f>
        <v>0</v>
      </c>
      <c r="CR3" s="39" t="s">
        <v>9</v>
      </c>
      <c r="CS3" s="49"/>
      <c r="CT3" s="50">
        <f>SUM(R3,AK3,BD3,BW3,CP3)</f>
        <v>0</v>
      </c>
      <c r="CU3" s="51"/>
    </row>
    <row r="4" ht="15" customHeight="1" spans="1:99">
      <c r="A4" s="9"/>
      <c r="B4" s="9"/>
      <c r="C4" s="9"/>
      <c r="D4" s="9"/>
      <c r="E4" s="9"/>
      <c r="F4" s="9"/>
      <c r="G4" s="9"/>
      <c r="H4" s="11"/>
      <c r="I4" s="10"/>
      <c r="J4" s="10"/>
      <c r="K4" s="10"/>
      <c r="L4" s="10"/>
      <c r="M4" s="19"/>
      <c r="P4" s="11"/>
      <c r="Q4" s="28"/>
      <c r="R4" s="26"/>
      <c r="S4" s="24"/>
      <c r="T4" s="9"/>
      <c r="U4" s="9"/>
      <c r="V4" s="9"/>
      <c r="W4" s="9"/>
      <c r="X4" s="9"/>
      <c r="Y4" s="9"/>
      <c r="Z4" s="9"/>
      <c r="AA4" s="11"/>
      <c r="AB4" s="10"/>
      <c r="AC4" s="10"/>
      <c r="AD4" s="10"/>
      <c r="AE4" s="10"/>
      <c r="AF4" s="19"/>
      <c r="AG4" s="20"/>
      <c r="AH4" s="10"/>
      <c r="AI4" s="11"/>
      <c r="AJ4" s="28"/>
      <c r="AK4" s="26"/>
      <c r="AM4" s="9"/>
      <c r="AN4" s="9"/>
      <c r="AO4" s="9"/>
      <c r="AP4" s="9"/>
      <c r="AQ4" s="9"/>
      <c r="AR4" s="9"/>
      <c r="AS4" s="9"/>
      <c r="AT4" s="11"/>
      <c r="AU4" s="10"/>
      <c r="AV4" s="10"/>
      <c r="AW4" s="10"/>
      <c r="AX4" s="10"/>
      <c r="AY4" s="19"/>
      <c r="AZ4" s="20"/>
      <c r="BA4" s="10"/>
      <c r="BB4" s="11"/>
      <c r="BC4" s="28"/>
      <c r="BD4" s="26"/>
      <c r="BF4" s="9"/>
      <c r="BG4" s="9"/>
      <c r="BH4" s="9"/>
      <c r="BI4" s="9"/>
      <c r="BJ4" s="9"/>
      <c r="BK4" s="9"/>
      <c r="BL4" s="9"/>
      <c r="BM4" s="11"/>
      <c r="BN4" s="10"/>
      <c r="BO4" s="10"/>
      <c r="BP4" s="10"/>
      <c r="BQ4" s="10"/>
      <c r="BR4" s="19"/>
      <c r="BS4" s="20"/>
      <c r="BT4" s="10"/>
      <c r="BU4" s="11"/>
      <c r="BV4" s="28"/>
      <c r="BW4" s="26"/>
      <c r="BY4" s="9"/>
      <c r="BZ4" s="9"/>
      <c r="CA4" s="9"/>
      <c r="CB4" s="9"/>
      <c r="CC4" s="9"/>
      <c r="CD4" s="9"/>
      <c r="CE4" s="9"/>
      <c r="CF4" s="11"/>
      <c r="CG4" s="10"/>
      <c r="CH4" s="10"/>
      <c r="CI4" s="10"/>
      <c r="CJ4" s="10"/>
      <c r="CK4" s="19"/>
      <c r="CL4" s="20"/>
      <c r="CM4" s="10"/>
      <c r="CN4" s="11"/>
      <c r="CO4" s="28"/>
      <c r="CP4" s="26"/>
      <c r="CR4" s="40"/>
      <c r="CS4" s="52"/>
      <c r="CT4" s="53"/>
      <c r="CU4" s="54"/>
    </row>
    <row r="5" ht="15" customHeight="1" spans="1:99">
      <c r="A5" s="9"/>
      <c r="B5" s="9"/>
      <c r="C5" s="9"/>
      <c r="D5" s="9"/>
      <c r="E5" s="9"/>
      <c r="F5" s="9"/>
      <c r="G5" s="9"/>
      <c r="H5" s="11"/>
      <c r="I5" s="10"/>
      <c r="J5" s="10"/>
      <c r="K5" s="10"/>
      <c r="L5" s="10"/>
      <c r="M5" s="19"/>
      <c r="N5" s="20"/>
      <c r="O5" s="10"/>
      <c r="P5" s="11"/>
      <c r="Q5" s="27" t="s">
        <v>17</v>
      </c>
      <c r="R5" s="23">
        <f>SUM(I2:L35)</f>
        <v>0</v>
      </c>
      <c r="S5" s="24"/>
      <c r="T5" s="9"/>
      <c r="U5" s="9"/>
      <c r="V5" s="9"/>
      <c r="W5" s="9"/>
      <c r="X5" s="9"/>
      <c r="Y5" s="9"/>
      <c r="Z5" s="9"/>
      <c r="AA5" s="11"/>
      <c r="AB5" s="10"/>
      <c r="AC5" s="10"/>
      <c r="AD5" s="10"/>
      <c r="AE5" s="10"/>
      <c r="AF5" s="19"/>
      <c r="AG5" s="20"/>
      <c r="AH5" s="10"/>
      <c r="AI5" s="11"/>
      <c r="AJ5" s="27" t="s">
        <v>17</v>
      </c>
      <c r="AK5" s="23">
        <f>SUM(AB2:AE35)</f>
        <v>0</v>
      </c>
      <c r="AM5" s="9"/>
      <c r="AN5" s="9"/>
      <c r="AO5" s="9"/>
      <c r="AP5" s="9"/>
      <c r="AQ5" s="9"/>
      <c r="AR5" s="9"/>
      <c r="AS5" s="9"/>
      <c r="AT5" s="11"/>
      <c r="AU5" s="10"/>
      <c r="AV5" s="10"/>
      <c r="AW5" s="10"/>
      <c r="AX5" s="10"/>
      <c r="AY5" s="19"/>
      <c r="AZ5" s="20"/>
      <c r="BA5" s="10"/>
      <c r="BB5" s="11"/>
      <c r="BC5" s="27" t="s">
        <v>17</v>
      </c>
      <c r="BD5" s="23">
        <f>SUM(AU2:AX35)</f>
        <v>0</v>
      </c>
      <c r="BF5" s="9"/>
      <c r="BG5" s="9"/>
      <c r="BH5" s="9"/>
      <c r="BI5" s="9"/>
      <c r="BJ5" s="9"/>
      <c r="BK5" s="9"/>
      <c r="BL5" s="9"/>
      <c r="BM5" s="11"/>
      <c r="BN5" s="10"/>
      <c r="BO5" s="10"/>
      <c r="BP5" s="10"/>
      <c r="BQ5" s="10"/>
      <c r="BR5" s="19"/>
      <c r="BS5" s="20"/>
      <c r="BT5" s="10"/>
      <c r="BU5" s="11"/>
      <c r="BV5" s="27" t="s">
        <v>17</v>
      </c>
      <c r="BW5" s="23">
        <f>SUM(BN2:BQ35)</f>
        <v>0</v>
      </c>
      <c r="BY5" s="9"/>
      <c r="BZ5" s="9"/>
      <c r="CA5" s="9"/>
      <c r="CB5" s="9"/>
      <c r="CC5" s="9"/>
      <c r="CD5" s="9"/>
      <c r="CE5" s="9"/>
      <c r="CF5" s="11"/>
      <c r="CG5" s="10"/>
      <c r="CH5" s="10"/>
      <c r="CI5" s="10"/>
      <c r="CJ5" s="10"/>
      <c r="CK5" s="19"/>
      <c r="CL5" s="20"/>
      <c r="CM5" s="10"/>
      <c r="CN5" s="11"/>
      <c r="CO5" s="27" t="s">
        <v>17</v>
      </c>
      <c r="CP5" s="23">
        <f>SUM(CG2:CJ35)</f>
        <v>0</v>
      </c>
      <c r="CR5" s="39" t="s">
        <v>17</v>
      </c>
      <c r="CS5" s="49"/>
      <c r="CT5" s="50">
        <f>SUM(R5,AK5,BD5,BW5,CP5)</f>
        <v>0</v>
      </c>
      <c r="CU5" s="51"/>
    </row>
    <row r="6" ht="15" customHeight="1" spans="1:99">
      <c r="A6" s="9"/>
      <c r="B6" s="9"/>
      <c r="C6" s="9"/>
      <c r="D6" s="9"/>
      <c r="E6" s="9"/>
      <c r="F6" s="9"/>
      <c r="G6" s="9"/>
      <c r="H6" s="11"/>
      <c r="I6" s="10"/>
      <c r="J6" s="10"/>
      <c r="K6" s="10"/>
      <c r="L6" s="10"/>
      <c r="M6" s="19"/>
      <c r="N6" s="20"/>
      <c r="O6" s="10"/>
      <c r="P6" s="11"/>
      <c r="Q6" s="28"/>
      <c r="R6" s="26"/>
      <c r="S6" s="24"/>
      <c r="T6" s="9"/>
      <c r="U6" s="9"/>
      <c r="V6" s="9"/>
      <c r="W6" s="9"/>
      <c r="X6" s="9"/>
      <c r="Y6" s="9"/>
      <c r="Z6" s="9"/>
      <c r="AA6" s="11"/>
      <c r="AB6" s="10"/>
      <c r="AC6" s="10"/>
      <c r="AD6" s="10"/>
      <c r="AE6" s="10"/>
      <c r="AF6" s="19"/>
      <c r="AG6" s="20"/>
      <c r="AH6" s="10"/>
      <c r="AI6" s="11"/>
      <c r="AJ6" s="28"/>
      <c r="AK6" s="26"/>
      <c r="AM6" s="9"/>
      <c r="AN6" s="9"/>
      <c r="AO6" s="9"/>
      <c r="AP6" s="9"/>
      <c r="AQ6" s="9"/>
      <c r="AR6" s="9"/>
      <c r="AS6" s="9"/>
      <c r="AT6" s="11"/>
      <c r="AU6" s="10"/>
      <c r="AV6" s="10"/>
      <c r="AW6" s="10"/>
      <c r="AX6" s="10"/>
      <c r="AY6" s="19"/>
      <c r="AZ6" s="20"/>
      <c r="BA6" s="10"/>
      <c r="BB6" s="11"/>
      <c r="BC6" s="28"/>
      <c r="BD6" s="26"/>
      <c r="BF6" s="9"/>
      <c r="BG6" s="9"/>
      <c r="BH6" s="9"/>
      <c r="BI6" s="9"/>
      <c r="BJ6" s="9"/>
      <c r="BK6" s="9"/>
      <c r="BL6" s="9"/>
      <c r="BM6" s="11"/>
      <c r="BN6" s="10"/>
      <c r="BO6" s="10"/>
      <c r="BP6" s="10"/>
      <c r="BQ6" s="10"/>
      <c r="BR6" s="19"/>
      <c r="BS6" s="20"/>
      <c r="BT6" s="10"/>
      <c r="BU6" s="11"/>
      <c r="BV6" s="28"/>
      <c r="BW6" s="26"/>
      <c r="BY6" s="9"/>
      <c r="BZ6" s="9"/>
      <c r="CA6" s="9"/>
      <c r="CB6" s="9"/>
      <c r="CC6" s="9"/>
      <c r="CD6" s="9"/>
      <c r="CE6" s="9"/>
      <c r="CF6" s="11"/>
      <c r="CG6" s="10"/>
      <c r="CH6" s="10"/>
      <c r="CI6" s="10"/>
      <c r="CJ6" s="10"/>
      <c r="CK6" s="19"/>
      <c r="CL6" s="20"/>
      <c r="CM6" s="10"/>
      <c r="CN6" s="11"/>
      <c r="CO6" s="28"/>
      <c r="CP6" s="26"/>
      <c r="CR6" s="40"/>
      <c r="CS6" s="52"/>
      <c r="CT6" s="53"/>
      <c r="CU6" s="54"/>
    </row>
    <row r="7" ht="15" customHeight="1" spans="1:99">
      <c r="A7" s="9"/>
      <c r="B7" s="9"/>
      <c r="C7" s="9"/>
      <c r="D7" s="9"/>
      <c r="E7" s="9"/>
      <c r="F7" s="9"/>
      <c r="G7" s="9"/>
      <c r="H7" s="11"/>
      <c r="I7" s="10"/>
      <c r="J7" s="10"/>
      <c r="K7" s="10"/>
      <c r="L7" s="10"/>
      <c r="M7" s="19"/>
      <c r="N7" s="20"/>
      <c r="O7" s="10"/>
      <c r="P7" s="11"/>
      <c r="Q7" s="27" t="s">
        <v>1</v>
      </c>
      <c r="R7" s="23">
        <f>SUM(O2:O35)</f>
        <v>0</v>
      </c>
      <c r="S7" s="24"/>
      <c r="T7" s="9"/>
      <c r="U7" s="9"/>
      <c r="V7" s="9"/>
      <c r="W7" s="9"/>
      <c r="X7" s="9"/>
      <c r="Y7" s="9"/>
      <c r="Z7" s="9"/>
      <c r="AA7" s="11"/>
      <c r="AB7" s="10"/>
      <c r="AC7" s="10"/>
      <c r="AD7" s="10"/>
      <c r="AE7" s="10"/>
      <c r="AF7" s="19"/>
      <c r="AG7" s="20"/>
      <c r="AH7" s="10"/>
      <c r="AI7" s="11"/>
      <c r="AJ7" s="27" t="s">
        <v>1</v>
      </c>
      <c r="AK7" s="23">
        <f>SUM(AH2:AH35)</f>
        <v>0</v>
      </c>
      <c r="AM7" s="9"/>
      <c r="AN7" s="9"/>
      <c r="AO7" s="9"/>
      <c r="AP7" s="9"/>
      <c r="AQ7" s="9"/>
      <c r="AR7" s="9"/>
      <c r="AS7" s="9"/>
      <c r="AT7" s="11"/>
      <c r="AU7" s="10"/>
      <c r="AV7" s="10"/>
      <c r="AW7" s="10"/>
      <c r="AX7" s="10"/>
      <c r="AY7" s="19"/>
      <c r="AZ7" s="20"/>
      <c r="BA7" s="10"/>
      <c r="BB7" s="11"/>
      <c r="BC7" s="27" t="s">
        <v>1</v>
      </c>
      <c r="BD7" s="23">
        <f>SUM(BA2:BA35)</f>
        <v>0</v>
      </c>
      <c r="BF7" s="9"/>
      <c r="BG7" s="9"/>
      <c r="BH7" s="9"/>
      <c r="BI7" s="9"/>
      <c r="BJ7" s="9"/>
      <c r="BK7" s="9"/>
      <c r="BL7" s="9"/>
      <c r="BM7" s="11"/>
      <c r="BN7" s="10"/>
      <c r="BO7" s="10"/>
      <c r="BP7" s="10"/>
      <c r="BQ7" s="10"/>
      <c r="BR7" s="19"/>
      <c r="BS7" s="20"/>
      <c r="BT7" s="10"/>
      <c r="BU7" s="11"/>
      <c r="BV7" s="27" t="s">
        <v>1</v>
      </c>
      <c r="BW7" s="23">
        <f>SUM(BT2:BT35)</f>
        <v>0</v>
      </c>
      <c r="BY7" s="9"/>
      <c r="BZ7" s="9"/>
      <c r="CA7" s="9"/>
      <c r="CB7" s="9"/>
      <c r="CC7" s="9"/>
      <c r="CD7" s="9"/>
      <c r="CE7" s="9"/>
      <c r="CF7" s="11"/>
      <c r="CG7" s="10"/>
      <c r="CH7" s="10"/>
      <c r="CI7" s="10"/>
      <c r="CJ7" s="10"/>
      <c r="CK7" s="19"/>
      <c r="CL7" s="20"/>
      <c r="CM7" s="10"/>
      <c r="CN7" s="11"/>
      <c r="CO7" s="27" t="s">
        <v>1</v>
      </c>
      <c r="CP7" s="23">
        <f>SUM(CM2:CM35)</f>
        <v>0</v>
      </c>
      <c r="CR7" s="39" t="s">
        <v>1</v>
      </c>
      <c r="CS7" s="49"/>
      <c r="CT7" s="50">
        <f>SUM(R7,AK7,BD7,BW7,CP7)</f>
        <v>0</v>
      </c>
      <c r="CU7" s="51"/>
    </row>
    <row r="8" ht="15" customHeight="1" spans="1:99">
      <c r="A8" s="9"/>
      <c r="B8" s="9"/>
      <c r="C8" s="9"/>
      <c r="D8" s="9"/>
      <c r="E8" s="9"/>
      <c r="F8" s="9"/>
      <c r="G8" s="9"/>
      <c r="H8" s="11"/>
      <c r="I8" s="10"/>
      <c r="J8" s="10"/>
      <c r="K8" s="10"/>
      <c r="L8" s="10"/>
      <c r="M8" s="19"/>
      <c r="N8" s="20"/>
      <c r="O8" s="10"/>
      <c r="P8" s="11"/>
      <c r="Q8" s="28"/>
      <c r="R8" s="26"/>
      <c r="S8" s="24"/>
      <c r="T8" s="9"/>
      <c r="U8" s="9"/>
      <c r="V8" s="9"/>
      <c r="W8" s="9"/>
      <c r="X8" s="9"/>
      <c r="Y8" s="9"/>
      <c r="Z8" s="9"/>
      <c r="AA8" s="11"/>
      <c r="AB8" s="10"/>
      <c r="AC8" s="10"/>
      <c r="AD8" s="10"/>
      <c r="AE8" s="10"/>
      <c r="AF8" s="19"/>
      <c r="AG8" s="20"/>
      <c r="AH8" s="10"/>
      <c r="AI8" s="11"/>
      <c r="AJ8" s="28"/>
      <c r="AK8" s="26"/>
      <c r="AM8" s="9"/>
      <c r="AN8" s="9"/>
      <c r="AO8" s="9"/>
      <c r="AP8" s="9"/>
      <c r="AQ8" s="9"/>
      <c r="AR8" s="9"/>
      <c r="AS8" s="9"/>
      <c r="AT8" s="11"/>
      <c r="AU8" s="10"/>
      <c r="AV8" s="10"/>
      <c r="AW8" s="10"/>
      <c r="AX8" s="10"/>
      <c r="AY8" s="19"/>
      <c r="AZ8" s="20"/>
      <c r="BA8" s="10"/>
      <c r="BB8" s="11"/>
      <c r="BC8" s="28"/>
      <c r="BD8" s="26"/>
      <c r="BF8" s="9"/>
      <c r="BG8" s="9"/>
      <c r="BH8" s="9"/>
      <c r="BI8" s="9"/>
      <c r="BJ8" s="9"/>
      <c r="BK8" s="9"/>
      <c r="BL8" s="9"/>
      <c r="BM8" s="11"/>
      <c r="BN8" s="10"/>
      <c r="BO8" s="10"/>
      <c r="BP8" s="10"/>
      <c r="BQ8" s="10"/>
      <c r="BR8" s="19"/>
      <c r="BS8" s="20"/>
      <c r="BT8" s="10"/>
      <c r="BU8" s="11"/>
      <c r="BV8" s="28"/>
      <c r="BW8" s="26"/>
      <c r="BY8" s="9"/>
      <c r="BZ8" s="9"/>
      <c r="CA8" s="9"/>
      <c r="CB8" s="9"/>
      <c r="CC8" s="9"/>
      <c r="CD8" s="9"/>
      <c r="CE8" s="9"/>
      <c r="CF8" s="11"/>
      <c r="CG8" s="10"/>
      <c r="CH8" s="10"/>
      <c r="CI8" s="10"/>
      <c r="CJ8" s="10"/>
      <c r="CK8" s="19"/>
      <c r="CL8" s="20"/>
      <c r="CM8" s="10"/>
      <c r="CN8" s="11"/>
      <c r="CO8" s="28"/>
      <c r="CP8" s="26"/>
      <c r="CR8" s="40"/>
      <c r="CS8" s="52"/>
      <c r="CT8" s="53"/>
      <c r="CU8" s="54"/>
    </row>
    <row r="9" ht="15" customHeight="1" spans="1:99">
      <c r="A9" s="9"/>
      <c r="B9" s="9"/>
      <c r="C9" s="9"/>
      <c r="D9" s="9"/>
      <c r="E9" s="9"/>
      <c r="F9" s="9"/>
      <c r="G9" s="9"/>
      <c r="H9" s="11"/>
      <c r="I9" s="10"/>
      <c r="J9" s="10"/>
      <c r="K9" s="10"/>
      <c r="L9" s="10"/>
      <c r="M9" s="19"/>
      <c r="N9" s="20"/>
      <c r="O9" s="10"/>
      <c r="P9" s="11"/>
      <c r="Q9" s="29" t="s">
        <v>33</v>
      </c>
      <c r="R9" s="30">
        <f>R3+R5</f>
        <v>0</v>
      </c>
      <c r="S9" s="24"/>
      <c r="T9" s="9"/>
      <c r="U9" s="9"/>
      <c r="V9" s="9"/>
      <c r="W9" s="9"/>
      <c r="X9" s="9"/>
      <c r="Y9" s="9"/>
      <c r="Z9" s="9"/>
      <c r="AA9" s="11"/>
      <c r="AB9" s="10"/>
      <c r="AC9" s="10"/>
      <c r="AD9" s="10"/>
      <c r="AE9" s="10"/>
      <c r="AF9" s="19"/>
      <c r="AG9" s="20"/>
      <c r="AH9" s="10"/>
      <c r="AI9" s="11"/>
      <c r="AJ9" s="29" t="s">
        <v>33</v>
      </c>
      <c r="AK9" s="30">
        <f>AK3+AK5</f>
        <v>0</v>
      </c>
      <c r="AM9" s="9"/>
      <c r="AN9" s="9"/>
      <c r="AO9" s="9"/>
      <c r="AP9" s="9"/>
      <c r="AQ9" s="9"/>
      <c r="AR9" s="9"/>
      <c r="AS9" s="9"/>
      <c r="AT9" s="11"/>
      <c r="AU9" s="10"/>
      <c r="AV9" s="10"/>
      <c r="AW9" s="10"/>
      <c r="AX9" s="10"/>
      <c r="AY9" s="19"/>
      <c r="AZ9" s="20"/>
      <c r="BA9" s="10"/>
      <c r="BB9" s="11"/>
      <c r="BC9" s="29" t="s">
        <v>33</v>
      </c>
      <c r="BD9" s="30">
        <f>BD3+BD5</f>
        <v>0</v>
      </c>
      <c r="BF9" s="9"/>
      <c r="BG9" s="9"/>
      <c r="BH9" s="9"/>
      <c r="BI9" s="9"/>
      <c r="BJ9" s="9"/>
      <c r="BK9" s="9"/>
      <c r="BL9" s="9"/>
      <c r="BM9" s="11"/>
      <c r="BN9" s="10"/>
      <c r="BO9" s="10"/>
      <c r="BP9" s="10"/>
      <c r="BQ9" s="10"/>
      <c r="BR9" s="19"/>
      <c r="BS9" s="20"/>
      <c r="BT9" s="10"/>
      <c r="BU9" s="11"/>
      <c r="BV9" s="29" t="s">
        <v>33</v>
      </c>
      <c r="BW9" s="30">
        <f>BW3+BW5</f>
        <v>0</v>
      </c>
      <c r="BY9" s="9"/>
      <c r="BZ9" s="9"/>
      <c r="CA9" s="9"/>
      <c r="CB9" s="9"/>
      <c r="CC9" s="9"/>
      <c r="CD9" s="9"/>
      <c r="CE9" s="9"/>
      <c r="CF9" s="11"/>
      <c r="CG9" s="10"/>
      <c r="CH9" s="10"/>
      <c r="CI9" s="10"/>
      <c r="CJ9" s="10"/>
      <c r="CK9" s="19"/>
      <c r="CL9" s="20"/>
      <c r="CM9" s="10"/>
      <c r="CN9" s="11"/>
      <c r="CO9" s="29" t="s">
        <v>33</v>
      </c>
      <c r="CP9" s="30">
        <f>CP3+CP5</f>
        <v>0</v>
      </c>
      <c r="CR9" s="41" t="s">
        <v>33</v>
      </c>
      <c r="CS9" s="55"/>
      <c r="CT9" s="56">
        <f>CT3+CT5</f>
        <v>0</v>
      </c>
      <c r="CU9" s="57"/>
    </row>
    <row r="10" ht="15" customHeight="1" spans="1:99">
      <c r="A10" s="9"/>
      <c r="B10" s="9"/>
      <c r="C10" s="9"/>
      <c r="D10" s="9"/>
      <c r="E10" s="9"/>
      <c r="F10" s="9"/>
      <c r="G10" s="9"/>
      <c r="H10" s="11"/>
      <c r="I10" s="10"/>
      <c r="J10" s="10"/>
      <c r="K10" s="10"/>
      <c r="L10" s="10"/>
      <c r="M10" s="19"/>
      <c r="N10" s="20"/>
      <c r="O10" s="10"/>
      <c r="P10" s="11"/>
      <c r="Q10" s="29" t="s">
        <v>36</v>
      </c>
      <c r="R10" s="30">
        <f>R1+R3+R5-R7+R15+R16</f>
        <v>0</v>
      </c>
      <c r="S10" s="24"/>
      <c r="T10" s="9"/>
      <c r="U10" s="9"/>
      <c r="V10" s="9"/>
      <c r="W10" s="9"/>
      <c r="X10" s="9"/>
      <c r="Y10" s="9"/>
      <c r="Z10" s="9"/>
      <c r="AA10" s="11"/>
      <c r="AB10" s="10"/>
      <c r="AC10" s="10"/>
      <c r="AD10" s="10"/>
      <c r="AE10" s="10"/>
      <c r="AF10" s="19"/>
      <c r="AG10" s="20"/>
      <c r="AH10" s="10"/>
      <c r="AI10" s="11"/>
      <c r="AJ10" s="29" t="s">
        <v>36</v>
      </c>
      <c r="AK10" s="30">
        <f>AK1+AK3+AK5-AK7+AK15+AK16</f>
        <v>0</v>
      </c>
      <c r="AM10" s="9"/>
      <c r="AN10" s="9"/>
      <c r="AO10" s="9"/>
      <c r="AP10" s="9"/>
      <c r="AQ10" s="9"/>
      <c r="AR10" s="9"/>
      <c r="AS10" s="9"/>
      <c r="AT10" s="11"/>
      <c r="AU10" s="10"/>
      <c r="AV10" s="10"/>
      <c r="AW10" s="10"/>
      <c r="AX10" s="10"/>
      <c r="AY10" s="19"/>
      <c r="AZ10" s="20"/>
      <c r="BA10" s="10"/>
      <c r="BB10" s="11"/>
      <c r="BC10" s="29" t="s">
        <v>36</v>
      </c>
      <c r="BD10" s="30">
        <f>BD1+BD3+BD5-BD7+BD15+BD16</f>
        <v>0</v>
      </c>
      <c r="BF10" s="9"/>
      <c r="BG10" s="9"/>
      <c r="BH10" s="9"/>
      <c r="BI10" s="9"/>
      <c r="BJ10" s="9"/>
      <c r="BK10" s="9"/>
      <c r="BL10" s="9"/>
      <c r="BM10" s="11"/>
      <c r="BN10" s="10"/>
      <c r="BO10" s="10"/>
      <c r="BP10" s="10"/>
      <c r="BQ10" s="10"/>
      <c r="BR10" s="19"/>
      <c r="BS10" s="20"/>
      <c r="BT10" s="10"/>
      <c r="BU10" s="11"/>
      <c r="BV10" s="29" t="s">
        <v>36</v>
      </c>
      <c r="BW10" s="30">
        <f>BW1+BW3+BW5-BW7+BW15+BW16</f>
        <v>0</v>
      </c>
      <c r="BY10" s="9"/>
      <c r="BZ10" s="9"/>
      <c r="CA10" s="9"/>
      <c r="CB10" s="9"/>
      <c r="CC10" s="9"/>
      <c r="CD10" s="9"/>
      <c r="CE10" s="9"/>
      <c r="CF10" s="11"/>
      <c r="CG10" s="10"/>
      <c r="CH10" s="10"/>
      <c r="CI10" s="10"/>
      <c r="CJ10" s="10"/>
      <c r="CK10" s="19"/>
      <c r="CL10" s="20"/>
      <c r="CM10" s="10"/>
      <c r="CN10" s="11"/>
      <c r="CO10" s="29" t="s">
        <v>36</v>
      </c>
      <c r="CP10" s="30">
        <f>CP1+CP3+CP5-CP7+CP15+CP16</f>
        <v>0</v>
      </c>
      <c r="CR10" s="42"/>
      <c r="CS10" s="58"/>
      <c r="CT10" s="59"/>
      <c r="CU10" s="60"/>
    </row>
    <row r="11" ht="15" customHeight="1" spans="1:99">
      <c r="A11" s="9"/>
      <c r="B11" s="9"/>
      <c r="C11" s="9"/>
      <c r="D11" s="9"/>
      <c r="E11" s="9"/>
      <c r="F11" s="9"/>
      <c r="G11" s="9"/>
      <c r="H11" s="11"/>
      <c r="I11" s="10"/>
      <c r="J11" s="10"/>
      <c r="K11" s="10"/>
      <c r="L11" s="10"/>
      <c r="M11" s="19"/>
      <c r="N11" s="20"/>
      <c r="O11" s="10"/>
      <c r="P11" s="11"/>
      <c r="Q11" s="29" t="s">
        <v>40</v>
      </c>
      <c r="R11" s="30">
        <f>R9/7</f>
        <v>0</v>
      </c>
      <c r="S11" s="24"/>
      <c r="T11" s="9"/>
      <c r="U11" s="9"/>
      <c r="V11" s="9"/>
      <c r="W11" s="9"/>
      <c r="X11" s="9"/>
      <c r="Y11" s="9"/>
      <c r="Z11" s="9"/>
      <c r="AA11" s="11"/>
      <c r="AB11" s="10"/>
      <c r="AC11" s="10"/>
      <c r="AD11" s="10"/>
      <c r="AE11" s="10"/>
      <c r="AF11" s="19"/>
      <c r="AG11" s="20"/>
      <c r="AH11" s="10"/>
      <c r="AI11" s="11"/>
      <c r="AJ11" s="29" t="s">
        <v>40</v>
      </c>
      <c r="AK11" s="30">
        <f>AK9/7</f>
        <v>0</v>
      </c>
      <c r="AM11" s="9"/>
      <c r="AN11" s="9"/>
      <c r="AO11" s="9"/>
      <c r="AP11" s="9"/>
      <c r="AQ11" s="9"/>
      <c r="AR11" s="9"/>
      <c r="AS11" s="9"/>
      <c r="AT11" s="11"/>
      <c r="AU11" s="10"/>
      <c r="AV11" s="10"/>
      <c r="AW11" s="10"/>
      <c r="AX11" s="10"/>
      <c r="AY11" s="19"/>
      <c r="AZ11" s="20"/>
      <c r="BA11" s="10"/>
      <c r="BB11" s="11"/>
      <c r="BC11" s="29" t="s">
        <v>40</v>
      </c>
      <c r="BD11" s="30">
        <f>BD9/7</f>
        <v>0</v>
      </c>
      <c r="BF11" s="9"/>
      <c r="BG11" s="9"/>
      <c r="BH11" s="9"/>
      <c r="BI11" s="9"/>
      <c r="BJ11" s="9"/>
      <c r="BK11" s="9"/>
      <c r="BL11" s="9"/>
      <c r="BM11" s="11"/>
      <c r="BN11" s="10"/>
      <c r="BO11" s="10"/>
      <c r="BP11" s="10"/>
      <c r="BQ11" s="10"/>
      <c r="BR11" s="19"/>
      <c r="BS11" s="20"/>
      <c r="BT11" s="10"/>
      <c r="BU11" s="11"/>
      <c r="BV11" s="29" t="s">
        <v>40</v>
      </c>
      <c r="BW11" s="30">
        <f>BW9/7</f>
        <v>0</v>
      </c>
      <c r="BY11" s="9"/>
      <c r="BZ11" s="9"/>
      <c r="CA11" s="9"/>
      <c r="CB11" s="9"/>
      <c r="CC11" s="9"/>
      <c r="CD11" s="9"/>
      <c r="CE11" s="9"/>
      <c r="CF11" s="11"/>
      <c r="CG11" s="10"/>
      <c r="CH11" s="10"/>
      <c r="CI11" s="10"/>
      <c r="CJ11" s="10"/>
      <c r="CK11" s="19"/>
      <c r="CL11" s="20"/>
      <c r="CM11" s="10"/>
      <c r="CN11" s="11"/>
      <c r="CO11" s="29" t="s">
        <v>40</v>
      </c>
      <c r="CP11" s="30">
        <f>CP9/7</f>
        <v>0</v>
      </c>
      <c r="CR11" s="43" t="s">
        <v>36</v>
      </c>
      <c r="CS11" s="61"/>
      <c r="CT11" s="62">
        <f>CT9-CT7</f>
        <v>0</v>
      </c>
      <c r="CU11" s="63"/>
    </row>
    <row r="12" ht="15" customHeight="1" spans="1:99">
      <c r="A12" s="9"/>
      <c r="B12" s="9"/>
      <c r="C12" s="9"/>
      <c r="D12" s="9"/>
      <c r="E12" s="9"/>
      <c r="F12" s="9"/>
      <c r="G12" s="9"/>
      <c r="H12" s="11"/>
      <c r="I12" s="10"/>
      <c r="J12" s="10"/>
      <c r="K12" s="10"/>
      <c r="L12" s="10"/>
      <c r="M12" s="19"/>
      <c r="N12" s="20"/>
      <c r="O12" s="10"/>
      <c r="P12" s="11"/>
      <c r="Q12" s="24"/>
      <c r="R12" s="24"/>
      <c r="S12" s="24"/>
      <c r="T12" s="9"/>
      <c r="U12" s="9"/>
      <c r="V12" s="9"/>
      <c r="W12" s="9"/>
      <c r="X12" s="9"/>
      <c r="Y12" s="9"/>
      <c r="Z12" s="9"/>
      <c r="AA12" s="11"/>
      <c r="AB12" s="10"/>
      <c r="AC12" s="10"/>
      <c r="AD12" s="10"/>
      <c r="AE12" s="10"/>
      <c r="AF12" s="19"/>
      <c r="AG12" s="20"/>
      <c r="AH12" s="10"/>
      <c r="AI12" s="11"/>
      <c r="AJ12" s="24"/>
      <c r="AK12" s="24"/>
      <c r="AM12" s="9"/>
      <c r="AN12" s="9"/>
      <c r="AO12" s="9"/>
      <c r="AP12" s="9"/>
      <c r="AQ12" s="9"/>
      <c r="AR12" s="9"/>
      <c r="AS12" s="9"/>
      <c r="AT12" s="11"/>
      <c r="AU12" s="10"/>
      <c r="AV12" s="10"/>
      <c r="AW12" s="10"/>
      <c r="AX12" s="10"/>
      <c r="AY12" s="19"/>
      <c r="AZ12" s="20"/>
      <c r="BA12" s="10"/>
      <c r="BB12" s="11"/>
      <c r="BC12" s="24"/>
      <c r="BD12" s="24"/>
      <c r="BF12" s="9"/>
      <c r="BG12" s="9"/>
      <c r="BH12" s="9"/>
      <c r="BI12" s="9"/>
      <c r="BJ12" s="9"/>
      <c r="BK12" s="9"/>
      <c r="BL12" s="9"/>
      <c r="BM12" s="11"/>
      <c r="BN12" s="10"/>
      <c r="BO12" s="10"/>
      <c r="BP12" s="10"/>
      <c r="BQ12" s="10"/>
      <c r="BR12" s="19"/>
      <c r="BS12" s="20"/>
      <c r="BT12" s="10"/>
      <c r="BU12" s="11"/>
      <c r="BV12" s="24"/>
      <c r="BW12" s="24"/>
      <c r="BX12" s="24"/>
      <c r="BY12" s="9"/>
      <c r="BZ12" s="9"/>
      <c r="CA12" s="9"/>
      <c r="CB12" s="9"/>
      <c r="CC12" s="9"/>
      <c r="CD12" s="9"/>
      <c r="CE12" s="9"/>
      <c r="CF12" s="11"/>
      <c r="CG12" s="10"/>
      <c r="CH12" s="10"/>
      <c r="CI12" s="10"/>
      <c r="CJ12" s="10"/>
      <c r="CK12" s="19"/>
      <c r="CL12" s="20"/>
      <c r="CM12" s="10"/>
      <c r="CN12" s="11"/>
      <c r="CO12" s="24"/>
      <c r="CP12" s="24"/>
      <c r="CR12" s="44"/>
      <c r="CS12" s="64"/>
      <c r="CT12" s="65"/>
      <c r="CU12" s="66"/>
    </row>
    <row r="13" spans="1:94">
      <c r="A13" s="9"/>
      <c r="B13" s="9"/>
      <c r="C13" s="9"/>
      <c r="D13" s="9"/>
      <c r="E13" s="9"/>
      <c r="F13" s="9"/>
      <c r="G13" s="9"/>
      <c r="H13" s="11"/>
      <c r="I13" s="10"/>
      <c r="J13" s="10"/>
      <c r="K13" s="10"/>
      <c r="L13" s="10"/>
      <c r="M13" s="19"/>
      <c r="N13" s="20"/>
      <c r="O13" s="10"/>
      <c r="P13" s="11"/>
      <c r="Q13" s="24"/>
      <c r="R13" s="31"/>
      <c r="S13" s="24"/>
      <c r="T13" s="9"/>
      <c r="U13" s="9"/>
      <c r="V13" s="9"/>
      <c r="W13" s="9"/>
      <c r="X13" s="9"/>
      <c r="Y13" s="9"/>
      <c r="Z13" s="9"/>
      <c r="AA13" s="11"/>
      <c r="AB13" s="10"/>
      <c r="AC13" s="10"/>
      <c r="AD13" s="10"/>
      <c r="AE13" s="10"/>
      <c r="AF13" s="19"/>
      <c r="AG13" s="20"/>
      <c r="AH13" s="10"/>
      <c r="AI13" s="11"/>
      <c r="AJ13" s="24"/>
      <c r="AK13" s="31"/>
      <c r="AM13" s="9"/>
      <c r="AN13" s="9"/>
      <c r="AO13" s="9"/>
      <c r="AP13" s="9"/>
      <c r="AQ13" s="9"/>
      <c r="AR13" s="9"/>
      <c r="AS13" s="9"/>
      <c r="AT13" s="11"/>
      <c r="AU13" s="10"/>
      <c r="AV13" s="10"/>
      <c r="AW13" s="10"/>
      <c r="AX13" s="10"/>
      <c r="AY13" s="19"/>
      <c r="AZ13" s="20"/>
      <c r="BA13" s="10"/>
      <c r="BB13" s="11"/>
      <c r="BC13" s="24"/>
      <c r="BD13" s="31"/>
      <c r="BF13" s="9"/>
      <c r="BG13" s="9"/>
      <c r="BH13" s="9"/>
      <c r="BI13" s="9"/>
      <c r="BJ13" s="9"/>
      <c r="BK13" s="9"/>
      <c r="BL13" s="9"/>
      <c r="BM13" s="11"/>
      <c r="BN13" s="10"/>
      <c r="BO13" s="10"/>
      <c r="BP13" s="10"/>
      <c r="BQ13" s="10"/>
      <c r="BR13" s="19"/>
      <c r="BS13" s="20"/>
      <c r="BT13" s="10"/>
      <c r="BU13" s="11"/>
      <c r="BV13" s="24"/>
      <c r="BW13" s="31"/>
      <c r="BX13" s="31"/>
      <c r="BY13" s="9"/>
      <c r="BZ13" s="9"/>
      <c r="CA13" s="9"/>
      <c r="CB13" s="9"/>
      <c r="CC13" s="9"/>
      <c r="CD13" s="9"/>
      <c r="CE13" s="9"/>
      <c r="CF13" s="11"/>
      <c r="CG13" s="10"/>
      <c r="CH13" s="10"/>
      <c r="CI13" s="10"/>
      <c r="CJ13" s="10"/>
      <c r="CK13" s="19"/>
      <c r="CL13" s="20"/>
      <c r="CM13" s="10"/>
      <c r="CN13" s="11"/>
      <c r="CO13" s="24"/>
      <c r="CP13" s="31"/>
    </row>
    <row r="14" spans="1:94">
      <c r="A14" s="9"/>
      <c r="B14" s="9"/>
      <c r="C14" s="9"/>
      <c r="D14" s="9"/>
      <c r="E14" s="9"/>
      <c r="F14" s="9"/>
      <c r="G14" s="9"/>
      <c r="H14" s="11"/>
      <c r="I14" s="10"/>
      <c r="J14" s="10"/>
      <c r="K14" s="10"/>
      <c r="L14" s="10"/>
      <c r="M14" s="19"/>
      <c r="N14" s="20"/>
      <c r="O14" s="10"/>
      <c r="P14" s="11"/>
      <c r="Q14" s="24"/>
      <c r="R14" s="24"/>
      <c r="S14" s="24"/>
      <c r="T14" s="9"/>
      <c r="U14" s="9"/>
      <c r="V14" s="9"/>
      <c r="W14" s="9"/>
      <c r="X14" s="9"/>
      <c r="Y14" s="9"/>
      <c r="Z14" s="9"/>
      <c r="AA14" s="11"/>
      <c r="AB14" s="10"/>
      <c r="AC14" s="10"/>
      <c r="AD14" s="10"/>
      <c r="AE14" s="10"/>
      <c r="AF14" s="19"/>
      <c r="AG14" s="20"/>
      <c r="AH14" s="10"/>
      <c r="AI14" s="11"/>
      <c r="AJ14" s="24"/>
      <c r="AK14" s="24"/>
      <c r="AM14" s="9"/>
      <c r="AN14" s="9"/>
      <c r="AO14" s="9"/>
      <c r="AP14" s="9"/>
      <c r="AQ14" s="9"/>
      <c r="AR14" s="9"/>
      <c r="AS14" s="9"/>
      <c r="AT14" s="11"/>
      <c r="AU14" s="10"/>
      <c r="AV14" s="10"/>
      <c r="AW14" s="10"/>
      <c r="AX14" s="10"/>
      <c r="AY14" s="19"/>
      <c r="AZ14" s="20"/>
      <c r="BA14" s="10"/>
      <c r="BB14" s="11"/>
      <c r="BC14" s="24"/>
      <c r="BD14" s="24"/>
      <c r="BF14" s="9"/>
      <c r="BG14" s="9"/>
      <c r="BH14" s="9"/>
      <c r="BI14" s="9"/>
      <c r="BJ14" s="9"/>
      <c r="BK14" s="9"/>
      <c r="BL14" s="9"/>
      <c r="BM14" s="11"/>
      <c r="BN14" s="10"/>
      <c r="BO14" s="10"/>
      <c r="BP14" s="10"/>
      <c r="BQ14" s="10"/>
      <c r="BR14" s="19"/>
      <c r="BS14" s="20"/>
      <c r="BT14" s="10"/>
      <c r="BU14" s="11"/>
      <c r="BV14" s="24"/>
      <c r="BW14" s="24"/>
      <c r="BX14" s="24"/>
      <c r="BY14" s="9"/>
      <c r="BZ14" s="9"/>
      <c r="CA14" s="9"/>
      <c r="CB14" s="9"/>
      <c r="CC14" s="9"/>
      <c r="CD14" s="9"/>
      <c r="CE14" s="9"/>
      <c r="CF14" s="11"/>
      <c r="CG14" s="10"/>
      <c r="CH14" s="10"/>
      <c r="CI14" s="10"/>
      <c r="CJ14" s="10"/>
      <c r="CK14" s="19"/>
      <c r="CL14" s="20"/>
      <c r="CM14" s="10"/>
      <c r="CN14" s="11"/>
      <c r="CO14" s="24"/>
      <c r="CP14" s="24"/>
    </row>
    <row r="15" ht="15.75" customHeight="1" spans="1:94">
      <c r="A15" s="9"/>
      <c r="B15" s="9"/>
      <c r="C15" s="9"/>
      <c r="D15" s="9"/>
      <c r="E15" s="9"/>
      <c r="F15" s="9"/>
      <c r="G15" s="9"/>
      <c r="H15" s="11"/>
      <c r="I15" s="10"/>
      <c r="J15" s="10"/>
      <c r="K15" s="10"/>
      <c r="L15" s="10"/>
      <c r="M15" s="19"/>
      <c r="N15" s="20"/>
      <c r="O15" s="10"/>
      <c r="P15" s="11"/>
      <c r="Q15" s="32" t="s">
        <v>50</v>
      </c>
      <c r="R15" s="33"/>
      <c r="S15" s="24"/>
      <c r="T15" s="9"/>
      <c r="U15" s="9"/>
      <c r="V15" s="9"/>
      <c r="W15" s="9"/>
      <c r="X15" s="9"/>
      <c r="Y15" s="9"/>
      <c r="Z15" s="9"/>
      <c r="AA15" s="11"/>
      <c r="AB15" s="10"/>
      <c r="AC15" s="10"/>
      <c r="AD15" s="10"/>
      <c r="AE15" s="10"/>
      <c r="AF15" s="19"/>
      <c r="AG15" s="20"/>
      <c r="AH15" s="10"/>
      <c r="AI15" s="11"/>
      <c r="AJ15" s="32" t="s">
        <v>50</v>
      </c>
      <c r="AK15" s="33"/>
      <c r="AM15" s="9"/>
      <c r="AN15" s="9"/>
      <c r="AO15" s="9"/>
      <c r="AP15" s="9"/>
      <c r="AQ15" s="9"/>
      <c r="AR15" s="9"/>
      <c r="AS15" s="9"/>
      <c r="AT15" s="11"/>
      <c r="AU15" s="10"/>
      <c r="AV15" s="10"/>
      <c r="AW15" s="10"/>
      <c r="AX15" s="10"/>
      <c r="AY15" s="19"/>
      <c r="AZ15" s="20"/>
      <c r="BA15" s="10"/>
      <c r="BB15" s="11"/>
      <c r="BC15" s="32" t="s">
        <v>50</v>
      </c>
      <c r="BD15" s="33"/>
      <c r="BF15" s="9"/>
      <c r="BG15" s="9"/>
      <c r="BH15" s="9"/>
      <c r="BI15" s="9"/>
      <c r="BJ15" s="9"/>
      <c r="BK15" s="9"/>
      <c r="BL15" s="9"/>
      <c r="BM15" s="11"/>
      <c r="BN15" s="10"/>
      <c r="BO15" s="10"/>
      <c r="BP15" s="10"/>
      <c r="BQ15" s="10"/>
      <c r="BR15" s="19"/>
      <c r="BS15" s="20"/>
      <c r="BT15" s="10"/>
      <c r="BU15" s="11"/>
      <c r="BV15" s="32" t="s">
        <v>50</v>
      </c>
      <c r="BW15" s="33"/>
      <c r="BX15" s="24"/>
      <c r="BY15" s="9"/>
      <c r="BZ15" s="9"/>
      <c r="CA15" s="9"/>
      <c r="CB15" s="9"/>
      <c r="CC15" s="9"/>
      <c r="CD15" s="9"/>
      <c r="CE15" s="9"/>
      <c r="CF15" s="11"/>
      <c r="CG15" s="10"/>
      <c r="CH15" s="10"/>
      <c r="CI15" s="10"/>
      <c r="CJ15" s="10"/>
      <c r="CK15" s="19"/>
      <c r="CL15" s="20"/>
      <c r="CM15" s="10"/>
      <c r="CN15" s="11"/>
      <c r="CO15" s="32" t="s">
        <v>50</v>
      </c>
      <c r="CP15" s="33"/>
    </row>
    <row r="16" ht="15" customHeight="1" spans="1:94">
      <c r="A16" s="9"/>
      <c r="B16" s="9"/>
      <c r="C16" s="9"/>
      <c r="D16" s="9"/>
      <c r="E16" s="9"/>
      <c r="F16" s="9"/>
      <c r="G16" s="9"/>
      <c r="H16" s="11"/>
      <c r="I16" s="10"/>
      <c r="J16" s="10"/>
      <c r="K16" s="10"/>
      <c r="L16" s="10"/>
      <c r="M16" s="21"/>
      <c r="N16" s="20"/>
      <c r="O16" s="10"/>
      <c r="P16" s="11"/>
      <c r="Q16" s="32" t="s">
        <v>53</v>
      </c>
      <c r="R16" s="33"/>
      <c r="S16" s="24"/>
      <c r="T16" s="9"/>
      <c r="U16" s="9"/>
      <c r="V16" s="9"/>
      <c r="W16" s="9"/>
      <c r="X16" s="9"/>
      <c r="Y16" s="9"/>
      <c r="Z16" s="9"/>
      <c r="AA16" s="11"/>
      <c r="AB16" s="10"/>
      <c r="AC16" s="10"/>
      <c r="AD16" s="10"/>
      <c r="AE16" s="10"/>
      <c r="AF16" s="21"/>
      <c r="AG16" s="20"/>
      <c r="AH16" s="10"/>
      <c r="AI16" s="11"/>
      <c r="AJ16" s="32" t="s">
        <v>53</v>
      </c>
      <c r="AK16" s="33"/>
      <c r="AM16" s="9"/>
      <c r="AN16" s="9"/>
      <c r="AO16" s="9"/>
      <c r="AP16" s="9"/>
      <c r="AQ16" s="9"/>
      <c r="AR16" s="9"/>
      <c r="AS16" s="9"/>
      <c r="AT16" s="11"/>
      <c r="AU16" s="10"/>
      <c r="AV16" s="10"/>
      <c r="AW16" s="10"/>
      <c r="AX16" s="10"/>
      <c r="AY16" s="21"/>
      <c r="AZ16" s="20"/>
      <c r="BA16" s="10"/>
      <c r="BB16" s="11"/>
      <c r="BC16" s="32" t="s">
        <v>53</v>
      </c>
      <c r="BD16" s="33"/>
      <c r="BF16" s="9"/>
      <c r="BG16" s="9"/>
      <c r="BH16" s="9"/>
      <c r="BI16" s="9"/>
      <c r="BJ16" s="9"/>
      <c r="BK16" s="9"/>
      <c r="BL16" s="9"/>
      <c r="BM16" s="11"/>
      <c r="BN16" s="10"/>
      <c r="BO16" s="10"/>
      <c r="BP16" s="10"/>
      <c r="BQ16" s="10"/>
      <c r="BR16" s="21"/>
      <c r="BS16" s="20"/>
      <c r="BT16" s="10"/>
      <c r="BU16" s="11"/>
      <c r="BV16" s="32" t="s">
        <v>53</v>
      </c>
      <c r="BW16" s="33"/>
      <c r="BX16" s="31"/>
      <c r="BY16" s="9"/>
      <c r="BZ16" s="9"/>
      <c r="CA16" s="9"/>
      <c r="CB16" s="9"/>
      <c r="CC16" s="9"/>
      <c r="CD16" s="9"/>
      <c r="CE16" s="9"/>
      <c r="CF16" s="11"/>
      <c r="CG16" s="10"/>
      <c r="CH16" s="10"/>
      <c r="CI16" s="10"/>
      <c r="CJ16" s="10"/>
      <c r="CK16" s="21"/>
      <c r="CL16" s="20"/>
      <c r="CM16" s="10"/>
      <c r="CN16" s="11"/>
      <c r="CO16" s="32" t="s">
        <v>53</v>
      </c>
      <c r="CP16" s="33"/>
    </row>
    <row r="17" ht="15.75" customHeight="1" spans="1:94">
      <c r="A17" s="9"/>
      <c r="B17" s="9"/>
      <c r="C17" s="9"/>
      <c r="D17" s="9"/>
      <c r="E17" s="9"/>
      <c r="F17" s="9"/>
      <c r="G17" s="9"/>
      <c r="H17" s="11"/>
      <c r="I17" s="10"/>
      <c r="J17" s="10"/>
      <c r="K17" s="10"/>
      <c r="L17" s="10"/>
      <c r="M17" s="21"/>
      <c r="N17" s="20"/>
      <c r="O17" s="10"/>
      <c r="P17" s="11"/>
      <c r="Q17" s="24"/>
      <c r="R17" s="31"/>
      <c r="S17" s="24"/>
      <c r="T17" s="9"/>
      <c r="U17" s="9"/>
      <c r="V17" s="9"/>
      <c r="W17" s="9"/>
      <c r="X17" s="9"/>
      <c r="Y17" s="9"/>
      <c r="Z17" s="9"/>
      <c r="AA17" s="11"/>
      <c r="AB17" s="10"/>
      <c r="AC17" s="10"/>
      <c r="AD17" s="10"/>
      <c r="AE17" s="10"/>
      <c r="AF17" s="21"/>
      <c r="AG17" s="20"/>
      <c r="AH17" s="10"/>
      <c r="AI17" s="11"/>
      <c r="AJ17" s="24"/>
      <c r="AK17" s="31"/>
      <c r="AM17" s="9"/>
      <c r="AN17" s="9"/>
      <c r="AO17" s="9"/>
      <c r="AP17" s="9"/>
      <c r="AQ17" s="9"/>
      <c r="AR17" s="9"/>
      <c r="AS17" s="9"/>
      <c r="AT17" s="11"/>
      <c r="AU17" s="10"/>
      <c r="AV17" s="10"/>
      <c r="AW17" s="10"/>
      <c r="AX17" s="10"/>
      <c r="AY17" s="21"/>
      <c r="AZ17" s="20"/>
      <c r="BA17" s="10"/>
      <c r="BB17" s="11"/>
      <c r="BC17" s="24"/>
      <c r="BD17" s="31"/>
      <c r="BF17" s="9"/>
      <c r="BG17" s="9"/>
      <c r="BH17" s="9"/>
      <c r="BI17" s="9"/>
      <c r="BJ17" s="9"/>
      <c r="BK17" s="9"/>
      <c r="BL17" s="9"/>
      <c r="BM17" s="11"/>
      <c r="BN17" s="10"/>
      <c r="BO17" s="10"/>
      <c r="BP17" s="10"/>
      <c r="BQ17" s="10"/>
      <c r="BR17" s="21"/>
      <c r="BS17" s="20"/>
      <c r="BT17" s="10"/>
      <c r="BU17" s="11"/>
      <c r="BV17" s="24"/>
      <c r="BW17" s="31"/>
      <c r="BX17" s="31"/>
      <c r="BY17" s="9"/>
      <c r="BZ17" s="9"/>
      <c r="CA17" s="9"/>
      <c r="CB17" s="9"/>
      <c r="CC17" s="9"/>
      <c r="CD17" s="9"/>
      <c r="CE17" s="9"/>
      <c r="CF17" s="11"/>
      <c r="CG17" s="10"/>
      <c r="CH17" s="10"/>
      <c r="CI17" s="10"/>
      <c r="CJ17" s="10"/>
      <c r="CK17" s="21"/>
      <c r="CL17" s="20"/>
      <c r="CM17" s="10"/>
      <c r="CN17" s="11"/>
      <c r="CO17" s="24"/>
      <c r="CP17" s="31"/>
    </row>
    <row r="18" ht="15.75" customHeight="1" spans="1:92">
      <c r="A18" s="9"/>
      <c r="B18" s="9"/>
      <c r="C18" s="9"/>
      <c r="D18" s="9"/>
      <c r="E18" s="9"/>
      <c r="F18" s="9"/>
      <c r="G18" s="9"/>
      <c r="H18" s="11"/>
      <c r="I18" s="10"/>
      <c r="J18" s="10"/>
      <c r="K18" s="10"/>
      <c r="L18" s="10"/>
      <c r="M18" s="21"/>
      <c r="N18" s="20"/>
      <c r="O18" s="10"/>
      <c r="P18" s="11"/>
      <c r="S18" s="24"/>
      <c r="T18" s="9"/>
      <c r="U18" s="9"/>
      <c r="V18" s="9"/>
      <c r="W18" s="9"/>
      <c r="X18" s="9"/>
      <c r="Y18" s="9"/>
      <c r="Z18" s="9"/>
      <c r="AA18" s="11"/>
      <c r="AB18" s="10"/>
      <c r="AC18" s="10"/>
      <c r="AD18" s="10"/>
      <c r="AE18" s="10"/>
      <c r="AF18" s="21"/>
      <c r="AG18" s="20"/>
      <c r="AH18" s="10"/>
      <c r="AI18" s="11"/>
      <c r="AM18" s="9"/>
      <c r="AN18" s="9"/>
      <c r="AO18" s="9"/>
      <c r="AP18" s="9"/>
      <c r="AQ18" s="9"/>
      <c r="AR18" s="9"/>
      <c r="AS18" s="9"/>
      <c r="AT18" s="11"/>
      <c r="AU18" s="10"/>
      <c r="AV18" s="10"/>
      <c r="AW18" s="10"/>
      <c r="AX18" s="10"/>
      <c r="AY18" s="21"/>
      <c r="AZ18" s="20"/>
      <c r="BA18" s="10"/>
      <c r="BB18" s="11"/>
      <c r="BF18" s="9"/>
      <c r="BG18" s="9"/>
      <c r="BH18" s="9"/>
      <c r="BI18" s="9"/>
      <c r="BJ18" s="9"/>
      <c r="BK18" s="9"/>
      <c r="BL18" s="9"/>
      <c r="BM18" s="11"/>
      <c r="BN18" s="10"/>
      <c r="BO18" s="10"/>
      <c r="BP18" s="10"/>
      <c r="BQ18" s="10"/>
      <c r="BR18" s="21"/>
      <c r="BS18" s="20"/>
      <c r="BT18" s="10"/>
      <c r="BU18" s="11"/>
      <c r="BX18" s="24"/>
      <c r="BY18" s="9"/>
      <c r="BZ18" s="9"/>
      <c r="CA18" s="9"/>
      <c r="CB18" s="9"/>
      <c r="CC18" s="9"/>
      <c r="CD18" s="9"/>
      <c r="CE18" s="9"/>
      <c r="CF18" s="11"/>
      <c r="CG18" s="10"/>
      <c r="CH18" s="10"/>
      <c r="CI18" s="10"/>
      <c r="CJ18" s="10"/>
      <c r="CK18" s="21"/>
      <c r="CL18" s="20"/>
      <c r="CM18" s="10"/>
      <c r="CN18" s="11"/>
    </row>
    <row r="19" ht="15.75" customHeight="1" spans="1:94">
      <c r="A19" s="9"/>
      <c r="B19" s="9"/>
      <c r="C19" s="9"/>
      <c r="D19" s="9"/>
      <c r="E19" s="9"/>
      <c r="F19" s="9"/>
      <c r="G19" s="9"/>
      <c r="H19" s="11"/>
      <c r="I19" s="10"/>
      <c r="J19" s="10"/>
      <c r="K19" s="10"/>
      <c r="L19" s="10"/>
      <c r="M19" s="21"/>
      <c r="N19" s="20"/>
      <c r="O19" s="10"/>
      <c r="P19" s="11"/>
      <c r="Q19" s="24"/>
      <c r="R19" s="31"/>
      <c r="S19" s="24"/>
      <c r="T19" s="9"/>
      <c r="U19" s="9"/>
      <c r="V19" s="9"/>
      <c r="W19" s="9"/>
      <c r="X19" s="9"/>
      <c r="Y19" s="9"/>
      <c r="Z19" s="9"/>
      <c r="AA19" s="11"/>
      <c r="AB19" s="10"/>
      <c r="AC19" s="10"/>
      <c r="AD19" s="10"/>
      <c r="AE19" s="10"/>
      <c r="AF19" s="21"/>
      <c r="AG19" s="20"/>
      <c r="AH19" s="10"/>
      <c r="AI19" s="11"/>
      <c r="AJ19" s="24"/>
      <c r="AK19" s="31"/>
      <c r="AM19" s="9"/>
      <c r="AN19" s="9"/>
      <c r="AO19" s="9"/>
      <c r="AP19" s="9"/>
      <c r="AQ19" s="9"/>
      <c r="AR19" s="9"/>
      <c r="AS19" s="9"/>
      <c r="AT19" s="11"/>
      <c r="AU19" s="10"/>
      <c r="AV19" s="10"/>
      <c r="AW19" s="10"/>
      <c r="AX19" s="10"/>
      <c r="AY19" s="21"/>
      <c r="AZ19" s="20"/>
      <c r="BA19" s="10"/>
      <c r="BB19" s="11"/>
      <c r="BC19" s="24"/>
      <c r="BD19" s="31"/>
      <c r="BF19" s="9"/>
      <c r="BG19" s="9"/>
      <c r="BH19" s="9"/>
      <c r="BI19" s="9"/>
      <c r="BJ19" s="9"/>
      <c r="BK19" s="9"/>
      <c r="BL19" s="9"/>
      <c r="BM19" s="11"/>
      <c r="BN19" s="10"/>
      <c r="BO19" s="10"/>
      <c r="BP19" s="10"/>
      <c r="BQ19" s="10"/>
      <c r="BR19" s="21"/>
      <c r="BS19" s="20"/>
      <c r="BT19" s="10"/>
      <c r="BU19" s="11"/>
      <c r="BV19" s="24"/>
      <c r="BW19" s="31"/>
      <c r="BX19" s="31"/>
      <c r="BY19" s="9"/>
      <c r="BZ19" s="9"/>
      <c r="CA19" s="9"/>
      <c r="CB19" s="9"/>
      <c r="CC19" s="9"/>
      <c r="CD19" s="9"/>
      <c r="CE19" s="9"/>
      <c r="CF19" s="11"/>
      <c r="CG19" s="10"/>
      <c r="CH19" s="10"/>
      <c r="CI19" s="10"/>
      <c r="CJ19" s="10"/>
      <c r="CK19" s="21"/>
      <c r="CL19" s="20"/>
      <c r="CM19" s="10"/>
      <c r="CN19" s="11"/>
      <c r="CO19" s="24"/>
      <c r="CP19" s="31"/>
    </row>
    <row r="20" ht="15" customHeight="1" spans="1:94">
      <c r="A20" s="9"/>
      <c r="B20" s="9"/>
      <c r="C20" s="9"/>
      <c r="D20" s="9"/>
      <c r="E20" s="9"/>
      <c r="F20" s="9"/>
      <c r="G20" s="9"/>
      <c r="H20" s="11"/>
      <c r="I20" s="10"/>
      <c r="J20" s="10"/>
      <c r="K20" s="10"/>
      <c r="L20" s="10"/>
      <c r="M20" s="21"/>
      <c r="N20" s="20"/>
      <c r="O20" s="10"/>
      <c r="P20" s="11"/>
      <c r="Q20" s="24"/>
      <c r="R20" s="31"/>
      <c r="S20" s="24"/>
      <c r="T20" s="9"/>
      <c r="U20" s="9"/>
      <c r="V20" s="9"/>
      <c r="W20" s="9"/>
      <c r="X20" s="9"/>
      <c r="Y20" s="9"/>
      <c r="Z20" s="9"/>
      <c r="AA20" s="11"/>
      <c r="AB20" s="10"/>
      <c r="AC20" s="10"/>
      <c r="AD20" s="10"/>
      <c r="AE20" s="10"/>
      <c r="AF20" s="21"/>
      <c r="AG20" s="20"/>
      <c r="AH20" s="10"/>
      <c r="AI20" s="11"/>
      <c r="AJ20" s="24"/>
      <c r="AK20" s="31"/>
      <c r="AM20" s="9"/>
      <c r="AN20" s="9"/>
      <c r="AO20" s="9"/>
      <c r="AP20" s="9"/>
      <c r="AQ20" s="9"/>
      <c r="AR20" s="9"/>
      <c r="AS20" s="9"/>
      <c r="AT20" s="11"/>
      <c r="AU20" s="10"/>
      <c r="AV20" s="10"/>
      <c r="AW20" s="10"/>
      <c r="AX20" s="10"/>
      <c r="AY20" s="21"/>
      <c r="AZ20" s="20"/>
      <c r="BA20" s="10"/>
      <c r="BB20" s="11"/>
      <c r="BC20" s="24"/>
      <c r="BD20" s="31"/>
      <c r="BF20" s="9"/>
      <c r="BG20" s="9"/>
      <c r="BH20" s="9"/>
      <c r="BI20" s="9"/>
      <c r="BJ20" s="9"/>
      <c r="BK20" s="9"/>
      <c r="BL20" s="9"/>
      <c r="BM20" s="11"/>
      <c r="BN20" s="10"/>
      <c r="BO20" s="10"/>
      <c r="BP20" s="10"/>
      <c r="BQ20" s="10"/>
      <c r="BR20" s="21"/>
      <c r="BS20" s="20"/>
      <c r="BT20" s="10"/>
      <c r="BU20" s="11"/>
      <c r="BV20" s="24"/>
      <c r="BW20" s="31"/>
      <c r="BX20" s="24"/>
      <c r="BY20" s="9"/>
      <c r="BZ20" s="9"/>
      <c r="CA20" s="9"/>
      <c r="CB20" s="9"/>
      <c r="CC20" s="9"/>
      <c r="CD20" s="9"/>
      <c r="CE20" s="9"/>
      <c r="CF20" s="11"/>
      <c r="CG20" s="10"/>
      <c r="CH20" s="10"/>
      <c r="CI20" s="10"/>
      <c r="CJ20" s="10"/>
      <c r="CK20" s="21"/>
      <c r="CL20" s="20"/>
      <c r="CM20" s="10"/>
      <c r="CN20" s="11"/>
      <c r="CO20" s="24"/>
      <c r="CP20" s="31"/>
    </row>
    <row r="21" ht="15" customHeight="1" spans="1:94">
      <c r="A21" s="9"/>
      <c r="B21" s="9"/>
      <c r="C21" s="9"/>
      <c r="D21" s="9"/>
      <c r="E21" s="9"/>
      <c r="F21" s="9"/>
      <c r="G21" s="9"/>
      <c r="H21" s="11"/>
      <c r="I21" s="10"/>
      <c r="J21" s="10"/>
      <c r="K21" s="10"/>
      <c r="L21" s="10"/>
      <c r="M21" s="21"/>
      <c r="N21" s="20"/>
      <c r="O21" s="10"/>
      <c r="P21" s="11"/>
      <c r="Q21" s="24"/>
      <c r="R21" s="31"/>
      <c r="S21" s="24"/>
      <c r="T21" s="9"/>
      <c r="U21" s="9"/>
      <c r="V21" s="9"/>
      <c r="W21" s="9"/>
      <c r="X21" s="9"/>
      <c r="Y21" s="9"/>
      <c r="Z21" s="9"/>
      <c r="AA21" s="11"/>
      <c r="AB21" s="10"/>
      <c r="AC21" s="10"/>
      <c r="AD21" s="10"/>
      <c r="AE21" s="10"/>
      <c r="AF21" s="21"/>
      <c r="AG21" s="20"/>
      <c r="AH21" s="10"/>
      <c r="AI21" s="11"/>
      <c r="AJ21" s="24"/>
      <c r="AK21" s="31"/>
      <c r="AM21" s="9"/>
      <c r="AN21" s="9"/>
      <c r="AO21" s="9"/>
      <c r="AP21" s="9"/>
      <c r="AQ21" s="9"/>
      <c r="AR21" s="9"/>
      <c r="AS21" s="9"/>
      <c r="AT21" s="11"/>
      <c r="AU21" s="10"/>
      <c r="AV21" s="10"/>
      <c r="AW21" s="10"/>
      <c r="AX21" s="10"/>
      <c r="AY21" s="21"/>
      <c r="AZ21" s="20"/>
      <c r="BA21" s="10"/>
      <c r="BB21" s="11"/>
      <c r="BC21" s="24"/>
      <c r="BD21" s="31"/>
      <c r="BF21" s="9"/>
      <c r="BG21" s="9"/>
      <c r="BH21" s="9"/>
      <c r="BI21" s="9"/>
      <c r="BJ21" s="9"/>
      <c r="BK21" s="9"/>
      <c r="BL21" s="9"/>
      <c r="BM21" s="11"/>
      <c r="BN21" s="10"/>
      <c r="BO21" s="10"/>
      <c r="BP21" s="10"/>
      <c r="BQ21" s="10"/>
      <c r="BR21" s="21"/>
      <c r="BS21" s="20"/>
      <c r="BT21" s="10"/>
      <c r="BU21" s="11"/>
      <c r="BV21" s="24"/>
      <c r="BW21" s="31"/>
      <c r="BX21" s="24"/>
      <c r="BY21" s="9"/>
      <c r="BZ21" s="9"/>
      <c r="CA21" s="9"/>
      <c r="CB21" s="9"/>
      <c r="CC21" s="9"/>
      <c r="CD21" s="9"/>
      <c r="CE21" s="9"/>
      <c r="CF21" s="11"/>
      <c r="CG21" s="10"/>
      <c r="CH21" s="10"/>
      <c r="CI21" s="10"/>
      <c r="CJ21" s="10"/>
      <c r="CK21" s="21"/>
      <c r="CL21" s="20"/>
      <c r="CM21" s="10"/>
      <c r="CN21" s="11"/>
      <c r="CO21" s="24"/>
      <c r="CP21" s="31"/>
    </row>
    <row r="22" ht="15.75" customHeight="1" spans="1:94">
      <c r="A22" s="9"/>
      <c r="B22" s="9"/>
      <c r="C22" s="9"/>
      <c r="D22" s="9"/>
      <c r="E22" s="9"/>
      <c r="F22" s="9"/>
      <c r="G22" s="9"/>
      <c r="H22" s="11"/>
      <c r="I22" s="10"/>
      <c r="J22" s="10"/>
      <c r="K22" s="10"/>
      <c r="L22" s="10"/>
      <c r="M22" s="21"/>
      <c r="N22" s="20"/>
      <c r="O22" s="10"/>
      <c r="P22" s="11"/>
      <c r="Q22" s="24"/>
      <c r="R22" s="31"/>
      <c r="S22" s="24"/>
      <c r="T22" s="9"/>
      <c r="U22" s="9"/>
      <c r="V22" s="9"/>
      <c r="W22" s="9"/>
      <c r="X22" s="9"/>
      <c r="Y22" s="9"/>
      <c r="Z22" s="9"/>
      <c r="AA22" s="11"/>
      <c r="AB22" s="10"/>
      <c r="AC22" s="10"/>
      <c r="AD22" s="10"/>
      <c r="AE22" s="10"/>
      <c r="AF22" s="21"/>
      <c r="AG22" s="20"/>
      <c r="AH22" s="10"/>
      <c r="AI22" s="11"/>
      <c r="AJ22" s="24"/>
      <c r="AK22" s="31"/>
      <c r="AM22" s="9"/>
      <c r="AN22" s="9"/>
      <c r="AO22" s="9"/>
      <c r="AP22" s="9"/>
      <c r="AQ22" s="9"/>
      <c r="AR22" s="9"/>
      <c r="AS22" s="9"/>
      <c r="AT22" s="11"/>
      <c r="AU22" s="10"/>
      <c r="AV22" s="10"/>
      <c r="AW22" s="10"/>
      <c r="AX22" s="10"/>
      <c r="AY22" s="21"/>
      <c r="AZ22" s="20"/>
      <c r="BA22" s="10"/>
      <c r="BB22" s="11"/>
      <c r="BC22" s="24"/>
      <c r="BD22" s="31"/>
      <c r="BF22" s="9"/>
      <c r="BG22" s="9"/>
      <c r="BH22" s="9"/>
      <c r="BI22" s="9"/>
      <c r="BJ22" s="9"/>
      <c r="BK22" s="9"/>
      <c r="BL22" s="9"/>
      <c r="BM22" s="11"/>
      <c r="BN22" s="10"/>
      <c r="BO22" s="10"/>
      <c r="BP22" s="10"/>
      <c r="BQ22" s="10"/>
      <c r="BR22" s="21"/>
      <c r="BS22" s="20"/>
      <c r="BT22" s="10"/>
      <c r="BU22" s="11"/>
      <c r="BV22" s="24"/>
      <c r="BW22" s="31"/>
      <c r="BX22" s="24"/>
      <c r="BY22" s="9"/>
      <c r="BZ22" s="9"/>
      <c r="CA22" s="9"/>
      <c r="CB22" s="9"/>
      <c r="CC22" s="9"/>
      <c r="CD22" s="9"/>
      <c r="CE22" s="9"/>
      <c r="CF22" s="11"/>
      <c r="CG22" s="10"/>
      <c r="CH22" s="10"/>
      <c r="CI22" s="10"/>
      <c r="CJ22" s="10"/>
      <c r="CK22" s="21"/>
      <c r="CL22" s="20"/>
      <c r="CM22" s="10"/>
      <c r="CN22" s="11"/>
      <c r="CO22" s="24"/>
      <c r="CP22" s="31"/>
    </row>
    <row r="23" spans="1:94">
      <c r="A23" s="9"/>
      <c r="B23" s="9"/>
      <c r="C23" s="9"/>
      <c r="D23" s="9"/>
      <c r="E23" s="9"/>
      <c r="F23" s="9"/>
      <c r="G23" s="9"/>
      <c r="H23" s="11"/>
      <c r="I23" s="10"/>
      <c r="J23" s="10"/>
      <c r="K23" s="10"/>
      <c r="L23" s="10"/>
      <c r="M23" s="21"/>
      <c r="N23" s="20"/>
      <c r="O23" s="10"/>
      <c r="P23" s="11"/>
      <c r="Q23" s="24"/>
      <c r="R23" s="31"/>
      <c r="S23" s="24"/>
      <c r="T23" s="9"/>
      <c r="U23" s="9"/>
      <c r="V23" s="9"/>
      <c r="W23" s="9"/>
      <c r="X23" s="9"/>
      <c r="Y23" s="9"/>
      <c r="Z23" s="9"/>
      <c r="AA23" s="11"/>
      <c r="AB23" s="10"/>
      <c r="AC23" s="10"/>
      <c r="AD23" s="10"/>
      <c r="AE23" s="10"/>
      <c r="AF23" s="21"/>
      <c r="AG23" s="20"/>
      <c r="AH23" s="10"/>
      <c r="AI23" s="11"/>
      <c r="AJ23" s="24"/>
      <c r="AK23" s="31"/>
      <c r="AM23" s="9"/>
      <c r="AN23" s="9"/>
      <c r="AO23" s="9"/>
      <c r="AP23" s="9"/>
      <c r="AQ23" s="9"/>
      <c r="AR23" s="9"/>
      <c r="AS23" s="9"/>
      <c r="AT23" s="11"/>
      <c r="AU23" s="10"/>
      <c r="AV23" s="10"/>
      <c r="AW23" s="10"/>
      <c r="AX23" s="10"/>
      <c r="AY23" s="21"/>
      <c r="AZ23" s="20"/>
      <c r="BA23" s="10"/>
      <c r="BB23" s="11"/>
      <c r="BC23" s="24"/>
      <c r="BD23" s="31"/>
      <c r="BF23" s="9"/>
      <c r="BG23" s="9"/>
      <c r="BH23" s="9"/>
      <c r="BI23" s="9"/>
      <c r="BJ23" s="9"/>
      <c r="BK23" s="9"/>
      <c r="BL23" s="9"/>
      <c r="BM23" s="11"/>
      <c r="BN23" s="10"/>
      <c r="BO23" s="10"/>
      <c r="BP23" s="10"/>
      <c r="BQ23" s="10"/>
      <c r="BR23" s="21"/>
      <c r="BS23" s="20"/>
      <c r="BT23" s="10"/>
      <c r="BU23" s="11"/>
      <c r="BV23" s="24"/>
      <c r="BW23" s="31"/>
      <c r="BX23" s="24"/>
      <c r="BY23" s="9"/>
      <c r="BZ23" s="9"/>
      <c r="CA23" s="9"/>
      <c r="CB23" s="9"/>
      <c r="CC23" s="9"/>
      <c r="CD23" s="9"/>
      <c r="CE23" s="9"/>
      <c r="CF23" s="11"/>
      <c r="CG23" s="10"/>
      <c r="CH23" s="10"/>
      <c r="CI23" s="10"/>
      <c r="CJ23" s="10"/>
      <c r="CK23" s="21"/>
      <c r="CL23" s="20"/>
      <c r="CM23" s="10"/>
      <c r="CN23" s="11"/>
      <c r="CO23" s="24"/>
      <c r="CP23" s="31"/>
    </row>
    <row r="24" spans="1:94">
      <c r="A24" s="9"/>
      <c r="B24" s="9"/>
      <c r="C24" s="9"/>
      <c r="D24" s="9"/>
      <c r="E24" s="9"/>
      <c r="F24" s="9"/>
      <c r="G24" s="9"/>
      <c r="H24" s="11"/>
      <c r="I24" s="10"/>
      <c r="J24" s="10"/>
      <c r="K24" s="10"/>
      <c r="L24" s="10"/>
      <c r="M24" s="21"/>
      <c r="N24" s="20"/>
      <c r="O24" s="10"/>
      <c r="P24" s="11"/>
      <c r="Q24" s="24"/>
      <c r="R24" s="24"/>
      <c r="S24" s="24"/>
      <c r="T24" s="9"/>
      <c r="U24" s="9"/>
      <c r="V24" s="9"/>
      <c r="W24" s="9"/>
      <c r="X24" s="9"/>
      <c r="Y24" s="9"/>
      <c r="Z24" s="9"/>
      <c r="AA24" s="11"/>
      <c r="AB24" s="10"/>
      <c r="AC24" s="10"/>
      <c r="AD24" s="10"/>
      <c r="AE24" s="10"/>
      <c r="AF24" s="21"/>
      <c r="AG24" s="20"/>
      <c r="AH24" s="10"/>
      <c r="AI24" s="11"/>
      <c r="AJ24" s="24"/>
      <c r="AK24" s="24"/>
      <c r="AM24" s="9"/>
      <c r="AN24" s="9"/>
      <c r="AO24" s="9"/>
      <c r="AP24" s="9"/>
      <c r="AQ24" s="9"/>
      <c r="AR24" s="9"/>
      <c r="AS24" s="9"/>
      <c r="AT24" s="11"/>
      <c r="AU24" s="10"/>
      <c r="AV24" s="10"/>
      <c r="AW24" s="10"/>
      <c r="AX24" s="10"/>
      <c r="AY24" s="21"/>
      <c r="AZ24" s="20"/>
      <c r="BA24" s="10"/>
      <c r="BB24" s="11"/>
      <c r="BC24" s="24"/>
      <c r="BD24" s="24"/>
      <c r="BF24" s="9"/>
      <c r="BG24" s="9"/>
      <c r="BH24" s="9"/>
      <c r="BI24" s="9"/>
      <c r="BJ24" s="9"/>
      <c r="BK24" s="9"/>
      <c r="BL24" s="9"/>
      <c r="BM24" s="11"/>
      <c r="BN24" s="10"/>
      <c r="BO24" s="10"/>
      <c r="BP24" s="10"/>
      <c r="BQ24" s="10"/>
      <c r="BR24" s="21"/>
      <c r="BS24" s="20"/>
      <c r="BT24" s="10"/>
      <c r="BU24" s="11"/>
      <c r="BV24" s="24"/>
      <c r="BW24" s="24"/>
      <c r="BX24" s="24"/>
      <c r="BY24" s="9"/>
      <c r="BZ24" s="9"/>
      <c r="CA24" s="9"/>
      <c r="CB24" s="9"/>
      <c r="CC24" s="9"/>
      <c r="CD24" s="9"/>
      <c r="CE24" s="9"/>
      <c r="CF24" s="11"/>
      <c r="CG24" s="10"/>
      <c r="CH24" s="10"/>
      <c r="CI24" s="10"/>
      <c r="CJ24" s="10"/>
      <c r="CK24" s="21"/>
      <c r="CL24" s="20"/>
      <c r="CM24" s="10"/>
      <c r="CN24" s="11"/>
      <c r="CO24" s="24"/>
      <c r="CP24" s="24"/>
    </row>
    <row r="25" spans="1:94">
      <c r="A25" s="9"/>
      <c r="B25" s="9"/>
      <c r="C25" s="9"/>
      <c r="D25" s="9"/>
      <c r="E25" s="9"/>
      <c r="F25" s="9"/>
      <c r="G25" s="9"/>
      <c r="H25" s="11"/>
      <c r="I25" s="10"/>
      <c r="J25" s="10"/>
      <c r="K25" s="10"/>
      <c r="L25" s="10"/>
      <c r="M25" s="21"/>
      <c r="N25" s="20"/>
      <c r="O25" s="10"/>
      <c r="P25" s="11"/>
      <c r="Q25" s="24"/>
      <c r="R25" s="24"/>
      <c r="S25" s="24"/>
      <c r="T25" s="9"/>
      <c r="U25" s="9"/>
      <c r="V25" s="9"/>
      <c r="W25" s="9"/>
      <c r="X25" s="9"/>
      <c r="Y25" s="9"/>
      <c r="Z25" s="9"/>
      <c r="AA25" s="11"/>
      <c r="AB25" s="10"/>
      <c r="AC25" s="10"/>
      <c r="AD25" s="10"/>
      <c r="AE25" s="10"/>
      <c r="AF25" s="21"/>
      <c r="AG25" s="20"/>
      <c r="AH25" s="10"/>
      <c r="AI25" s="11"/>
      <c r="AJ25" s="24"/>
      <c r="AK25" s="24"/>
      <c r="AM25" s="9"/>
      <c r="AN25" s="9"/>
      <c r="AO25" s="9"/>
      <c r="AP25" s="9"/>
      <c r="AQ25" s="9"/>
      <c r="AR25" s="9"/>
      <c r="AS25" s="9"/>
      <c r="AT25" s="11"/>
      <c r="AU25" s="10"/>
      <c r="AV25" s="10"/>
      <c r="AW25" s="10"/>
      <c r="AX25" s="10"/>
      <c r="AY25" s="21"/>
      <c r="AZ25" s="20"/>
      <c r="BA25" s="10"/>
      <c r="BB25" s="11"/>
      <c r="BC25" s="24"/>
      <c r="BD25" s="24"/>
      <c r="BF25" s="9"/>
      <c r="BG25" s="9"/>
      <c r="BH25" s="9"/>
      <c r="BI25" s="9"/>
      <c r="BJ25" s="9"/>
      <c r="BK25" s="9"/>
      <c r="BL25" s="9"/>
      <c r="BM25" s="11"/>
      <c r="BN25" s="10"/>
      <c r="BO25" s="10"/>
      <c r="BP25" s="10"/>
      <c r="BQ25" s="10"/>
      <c r="BR25" s="21"/>
      <c r="BS25" s="20"/>
      <c r="BT25" s="10"/>
      <c r="BU25" s="11"/>
      <c r="BV25" s="24"/>
      <c r="BW25" s="24"/>
      <c r="BX25" s="24"/>
      <c r="BY25" s="9"/>
      <c r="BZ25" s="9"/>
      <c r="CA25" s="9"/>
      <c r="CB25" s="9"/>
      <c r="CC25" s="9"/>
      <c r="CD25" s="9"/>
      <c r="CE25" s="9"/>
      <c r="CF25" s="11"/>
      <c r="CG25" s="10"/>
      <c r="CH25" s="10"/>
      <c r="CI25" s="10"/>
      <c r="CJ25" s="10"/>
      <c r="CK25" s="21"/>
      <c r="CL25" s="20"/>
      <c r="CM25" s="10"/>
      <c r="CN25" s="11"/>
      <c r="CO25" s="24"/>
      <c r="CP25" s="24"/>
    </row>
    <row r="26" spans="1:94">
      <c r="A26" s="9"/>
      <c r="B26" s="9"/>
      <c r="C26" s="9"/>
      <c r="D26" s="9"/>
      <c r="E26" s="9"/>
      <c r="F26" s="9"/>
      <c r="G26" s="9"/>
      <c r="H26" s="11"/>
      <c r="I26" s="10"/>
      <c r="J26" s="10"/>
      <c r="K26" s="10"/>
      <c r="L26" s="10"/>
      <c r="M26" s="21"/>
      <c r="N26" s="20"/>
      <c r="O26" s="10"/>
      <c r="P26" s="11"/>
      <c r="Q26" s="24"/>
      <c r="R26" s="24"/>
      <c r="S26" s="24"/>
      <c r="T26" s="9"/>
      <c r="U26" s="9"/>
      <c r="V26" s="9"/>
      <c r="W26" s="9"/>
      <c r="X26" s="9"/>
      <c r="Y26" s="9"/>
      <c r="Z26" s="9"/>
      <c r="AA26" s="11"/>
      <c r="AB26" s="10"/>
      <c r="AC26" s="10"/>
      <c r="AD26" s="10"/>
      <c r="AE26" s="10"/>
      <c r="AF26" s="21"/>
      <c r="AG26" s="20"/>
      <c r="AH26" s="10"/>
      <c r="AI26" s="11"/>
      <c r="AJ26" s="24"/>
      <c r="AK26" s="24"/>
      <c r="AM26" s="9"/>
      <c r="AN26" s="9"/>
      <c r="AO26" s="9"/>
      <c r="AP26" s="9"/>
      <c r="AQ26" s="9"/>
      <c r="AR26" s="9"/>
      <c r="AS26" s="9"/>
      <c r="AT26" s="11"/>
      <c r="AU26" s="10"/>
      <c r="AV26" s="10"/>
      <c r="AW26" s="10"/>
      <c r="AX26" s="10"/>
      <c r="AY26" s="21"/>
      <c r="AZ26" s="20"/>
      <c r="BA26" s="10"/>
      <c r="BB26" s="11"/>
      <c r="BC26" s="24"/>
      <c r="BD26" s="24"/>
      <c r="BF26" s="9"/>
      <c r="BG26" s="9"/>
      <c r="BH26" s="9"/>
      <c r="BI26" s="9"/>
      <c r="BJ26" s="9"/>
      <c r="BK26" s="9"/>
      <c r="BL26" s="9"/>
      <c r="BM26" s="11"/>
      <c r="BN26" s="10"/>
      <c r="BO26" s="10"/>
      <c r="BP26" s="10"/>
      <c r="BQ26" s="10"/>
      <c r="BR26" s="21"/>
      <c r="BS26" s="20"/>
      <c r="BT26" s="10"/>
      <c r="BU26" s="11"/>
      <c r="BV26" s="24"/>
      <c r="BW26" s="24"/>
      <c r="BX26" s="24"/>
      <c r="BY26" s="9"/>
      <c r="BZ26" s="9"/>
      <c r="CA26" s="9"/>
      <c r="CB26" s="9"/>
      <c r="CC26" s="9"/>
      <c r="CD26" s="9"/>
      <c r="CE26" s="9"/>
      <c r="CF26" s="11"/>
      <c r="CG26" s="10"/>
      <c r="CH26" s="10"/>
      <c r="CI26" s="10"/>
      <c r="CJ26" s="10"/>
      <c r="CK26" s="21"/>
      <c r="CL26" s="20"/>
      <c r="CM26" s="10"/>
      <c r="CN26" s="11"/>
      <c r="CO26" s="24"/>
      <c r="CP26" s="24"/>
    </row>
    <row r="27" spans="1:94">
      <c r="A27" s="9"/>
      <c r="B27" s="9"/>
      <c r="C27" s="9"/>
      <c r="D27" s="9"/>
      <c r="E27" s="9"/>
      <c r="F27" s="9"/>
      <c r="G27" s="9"/>
      <c r="H27" s="11"/>
      <c r="I27" s="10"/>
      <c r="J27" s="10"/>
      <c r="K27" s="10"/>
      <c r="L27" s="10"/>
      <c r="M27" s="21"/>
      <c r="N27" s="20"/>
      <c r="O27" s="10"/>
      <c r="P27" s="11"/>
      <c r="Q27" s="24"/>
      <c r="R27" s="24"/>
      <c r="S27" s="24"/>
      <c r="T27" s="9"/>
      <c r="U27" s="9"/>
      <c r="V27" s="9"/>
      <c r="W27" s="9"/>
      <c r="X27" s="9"/>
      <c r="Y27" s="9"/>
      <c r="Z27" s="9"/>
      <c r="AA27" s="11"/>
      <c r="AB27" s="10"/>
      <c r="AC27" s="10"/>
      <c r="AD27" s="10"/>
      <c r="AE27" s="10"/>
      <c r="AF27" s="21"/>
      <c r="AG27" s="20"/>
      <c r="AH27" s="10"/>
      <c r="AI27" s="11"/>
      <c r="AJ27" s="24"/>
      <c r="AK27" s="24"/>
      <c r="AM27" s="9"/>
      <c r="AN27" s="9"/>
      <c r="AO27" s="9"/>
      <c r="AP27" s="9"/>
      <c r="AQ27" s="9"/>
      <c r="AR27" s="9"/>
      <c r="AS27" s="9"/>
      <c r="AT27" s="11"/>
      <c r="AU27" s="10"/>
      <c r="AV27" s="10"/>
      <c r="AW27" s="10"/>
      <c r="AX27" s="10"/>
      <c r="AY27" s="21"/>
      <c r="AZ27" s="20"/>
      <c r="BA27" s="10"/>
      <c r="BB27" s="11"/>
      <c r="BC27" s="24"/>
      <c r="BD27" s="24"/>
      <c r="BF27" s="9"/>
      <c r="BG27" s="9"/>
      <c r="BH27" s="9"/>
      <c r="BI27" s="9"/>
      <c r="BJ27" s="9"/>
      <c r="BK27" s="9"/>
      <c r="BL27" s="9"/>
      <c r="BM27" s="11"/>
      <c r="BN27" s="10"/>
      <c r="BO27" s="10"/>
      <c r="BP27" s="10"/>
      <c r="BQ27" s="10"/>
      <c r="BR27" s="21"/>
      <c r="BS27" s="20"/>
      <c r="BT27" s="10"/>
      <c r="BU27" s="11"/>
      <c r="BV27" s="24"/>
      <c r="BW27" s="24"/>
      <c r="BX27" s="24"/>
      <c r="BY27" s="9"/>
      <c r="BZ27" s="9"/>
      <c r="CA27" s="9"/>
      <c r="CB27" s="9"/>
      <c r="CC27" s="9"/>
      <c r="CD27" s="9"/>
      <c r="CE27" s="9"/>
      <c r="CF27" s="11"/>
      <c r="CG27" s="10"/>
      <c r="CH27" s="10"/>
      <c r="CI27" s="10"/>
      <c r="CJ27" s="10"/>
      <c r="CK27" s="21"/>
      <c r="CL27" s="20"/>
      <c r="CM27" s="10"/>
      <c r="CN27" s="11"/>
      <c r="CO27" s="24"/>
      <c r="CP27" s="24"/>
    </row>
    <row r="28" spans="1:94">
      <c r="A28" s="9"/>
      <c r="B28" s="9"/>
      <c r="C28" s="9"/>
      <c r="D28" s="9"/>
      <c r="E28" s="9"/>
      <c r="F28" s="9"/>
      <c r="G28" s="9"/>
      <c r="H28" s="11"/>
      <c r="I28" s="10"/>
      <c r="J28" s="10"/>
      <c r="K28" s="10"/>
      <c r="L28" s="10"/>
      <c r="M28" s="21"/>
      <c r="N28" s="20"/>
      <c r="O28" s="10"/>
      <c r="P28" s="11"/>
      <c r="Q28" s="24"/>
      <c r="R28" s="34"/>
      <c r="S28" s="24"/>
      <c r="T28" s="9"/>
      <c r="U28" s="9"/>
      <c r="V28" s="9"/>
      <c r="W28" s="9"/>
      <c r="X28" s="9"/>
      <c r="Y28" s="9"/>
      <c r="Z28" s="9"/>
      <c r="AA28" s="11"/>
      <c r="AB28" s="10"/>
      <c r="AC28" s="10"/>
      <c r="AD28" s="10"/>
      <c r="AE28" s="10"/>
      <c r="AF28" s="21"/>
      <c r="AG28" s="20"/>
      <c r="AH28" s="10"/>
      <c r="AI28" s="11"/>
      <c r="AJ28" s="24"/>
      <c r="AK28" s="34"/>
      <c r="AM28" s="9"/>
      <c r="AN28" s="9"/>
      <c r="AO28" s="9"/>
      <c r="AP28" s="9"/>
      <c r="AQ28" s="9"/>
      <c r="AR28" s="9"/>
      <c r="AS28" s="9"/>
      <c r="AT28" s="11"/>
      <c r="AU28" s="10"/>
      <c r="AV28" s="10"/>
      <c r="AW28" s="10"/>
      <c r="AX28" s="10"/>
      <c r="AY28" s="21"/>
      <c r="AZ28" s="20"/>
      <c r="BA28" s="10"/>
      <c r="BB28" s="11"/>
      <c r="BC28" s="24"/>
      <c r="BD28" s="34"/>
      <c r="BF28" s="9"/>
      <c r="BG28" s="9"/>
      <c r="BH28" s="9"/>
      <c r="BI28" s="9"/>
      <c r="BJ28" s="9"/>
      <c r="BK28" s="9"/>
      <c r="BL28" s="9"/>
      <c r="BM28" s="11"/>
      <c r="BN28" s="10"/>
      <c r="BO28" s="10"/>
      <c r="BP28" s="10"/>
      <c r="BQ28" s="10"/>
      <c r="BR28" s="21"/>
      <c r="BS28" s="20"/>
      <c r="BT28" s="10"/>
      <c r="BU28" s="11"/>
      <c r="BV28" s="24"/>
      <c r="BW28" s="34"/>
      <c r="BX28" s="24"/>
      <c r="BY28" s="9"/>
      <c r="BZ28" s="9"/>
      <c r="CA28" s="9"/>
      <c r="CB28" s="9"/>
      <c r="CC28" s="9"/>
      <c r="CD28" s="9"/>
      <c r="CE28" s="9"/>
      <c r="CF28" s="11"/>
      <c r="CG28" s="10"/>
      <c r="CH28" s="10"/>
      <c r="CI28" s="10"/>
      <c r="CJ28" s="10"/>
      <c r="CK28" s="21"/>
      <c r="CL28" s="20"/>
      <c r="CM28" s="10"/>
      <c r="CN28" s="11"/>
      <c r="CO28" s="24"/>
      <c r="CP28" s="34"/>
    </row>
    <row r="29" spans="1:94">
      <c r="A29" s="9"/>
      <c r="B29" s="9"/>
      <c r="C29" s="9"/>
      <c r="D29" s="9"/>
      <c r="E29" s="9"/>
      <c r="F29" s="9"/>
      <c r="G29" s="9"/>
      <c r="H29" s="11"/>
      <c r="I29" s="10"/>
      <c r="J29" s="10"/>
      <c r="K29" s="10"/>
      <c r="L29" s="10"/>
      <c r="M29" s="21"/>
      <c r="N29" s="20"/>
      <c r="O29" s="10"/>
      <c r="P29" s="11"/>
      <c r="Q29" s="24"/>
      <c r="R29" s="24"/>
      <c r="S29" s="24"/>
      <c r="T29" s="9"/>
      <c r="U29" s="9"/>
      <c r="V29" s="9"/>
      <c r="W29" s="9"/>
      <c r="X29" s="9"/>
      <c r="Y29" s="9"/>
      <c r="Z29" s="9"/>
      <c r="AA29" s="11"/>
      <c r="AB29" s="10"/>
      <c r="AC29" s="10"/>
      <c r="AD29" s="10"/>
      <c r="AE29" s="10"/>
      <c r="AF29" s="21"/>
      <c r="AG29" s="20"/>
      <c r="AH29" s="10"/>
      <c r="AI29" s="11"/>
      <c r="AJ29" s="24"/>
      <c r="AK29" s="24"/>
      <c r="AM29" s="9"/>
      <c r="AN29" s="9"/>
      <c r="AO29" s="9"/>
      <c r="AP29" s="9"/>
      <c r="AQ29" s="9"/>
      <c r="AR29" s="9"/>
      <c r="AS29" s="9"/>
      <c r="AT29" s="11"/>
      <c r="AU29" s="10"/>
      <c r="AV29" s="10"/>
      <c r="AW29" s="10"/>
      <c r="AX29" s="10"/>
      <c r="AY29" s="21"/>
      <c r="AZ29" s="20"/>
      <c r="BA29" s="10"/>
      <c r="BB29" s="11"/>
      <c r="BC29" s="24"/>
      <c r="BD29" s="24"/>
      <c r="BF29" s="9"/>
      <c r="BG29" s="9"/>
      <c r="BH29" s="9"/>
      <c r="BI29" s="9"/>
      <c r="BJ29" s="9"/>
      <c r="BK29" s="9"/>
      <c r="BL29" s="9"/>
      <c r="BM29" s="11"/>
      <c r="BN29" s="10"/>
      <c r="BO29" s="10"/>
      <c r="BP29" s="10"/>
      <c r="BQ29" s="10"/>
      <c r="BR29" s="21"/>
      <c r="BS29" s="20"/>
      <c r="BT29" s="10"/>
      <c r="BU29" s="11"/>
      <c r="BV29" s="24"/>
      <c r="BW29" s="24"/>
      <c r="BX29" s="24"/>
      <c r="BY29" s="9"/>
      <c r="BZ29" s="9"/>
      <c r="CA29" s="9"/>
      <c r="CB29" s="9"/>
      <c r="CC29" s="9"/>
      <c r="CD29" s="9"/>
      <c r="CE29" s="9"/>
      <c r="CF29" s="11"/>
      <c r="CG29" s="10"/>
      <c r="CH29" s="10"/>
      <c r="CI29" s="10"/>
      <c r="CJ29" s="10"/>
      <c r="CK29" s="21"/>
      <c r="CL29" s="20"/>
      <c r="CM29" s="10"/>
      <c r="CN29" s="11"/>
      <c r="CO29" s="24"/>
      <c r="CP29" s="24"/>
    </row>
    <row r="30" spans="1:94">
      <c r="A30" s="9"/>
      <c r="B30" s="9"/>
      <c r="C30" s="9"/>
      <c r="D30" s="9"/>
      <c r="E30" s="9"/>
      <c r="F30" s="9"/>
      <c r="G30" s="9"/>
      <c r="H30" s="11"/>
      <c r="I30" s="10"/>
      <c r="J30" s="10"/>
      <c r="K30" s="10"/>
      <c r="L30" s="10"/>
      <c r="M30" s="21"/>
      <c r="N30" s="20"/>
      <c r="O30" s="10"/>
      <c r="P30" s="11"/>
      <c r="Q30" s="24"/>
      <c r="R30" s="24"/>
      <c r="S30" s="24"/>
      <c r="T30" s="9"/>
      <c r="U30" s="9"/>
      <c r="V30" s="9"/>
      <c r="W30" s="9"/>
      <c r="X30" s="9"/>
      <c r="Y30" s="9"/>
      <c r="Z30" s="9"/>
      <c r="AA30" s="11"/>
      <c r="AB30" s="10"/>
      <c r="AC30" s="10"/>
      <c r="AD30" s="10"/>
      <c r="AE30" s="10"/>
      <c r="AF30" s="21"/>
      <c r="AG30" s="20"/>
      <c r="AH30" s="10"/>
      <c r="AI30" s="11"/>
      <c r="AJ30" s="24"/>
      <c r="AK30" s="24"/>
      <c r="AM30" s="9"/>
      <c r="AN30" s="9"/>
      <c r="AO30" s="9"/>
      <c r="AP30" s="9"/>
      <c r="AQ30" s="9"/>
      <c r="AR30" s="9"/>
      <c r="AS30" s="9"/>
      <c r="AT30" s="11"/>
      <c r="AU30" s="10"/>
      <c r="AV30" s="10"/>
      <c r="AW30" s="10"/>
      <c r="AX30" s="10"/>
      <c r="AY30" s="21"/>
      <c r="AZ30" s="20"/>
      <c r="BA30" s="10"/>
      <c r="BB30" s="11"/>
      <c r="BC30" s="24"/>
      <c r="BD30" s="24"/>
      <c r="BF30" s="9"/>
      <c r="BG30" s="9"/>
      <c r="BH30" s="9"/>
      <c r="BI30" s="9"/>
      <c r="BJ30" s="9"/>
      <c r="BK30" s="9"/>
      <c r="BL30" s="9"/>
      <c r="BM30" s="11"/>
      <c r="BN30" s="10"/>
      <c r="BO30" s="10"/>
      <c r="BP30" s="10"/>
      <c r="BQ30" s="10"/>
      <c r="BR30" s="21"/>
      <c r="BS30" s="20"/>
      <c r="BT30" s="10"/>
      <c r="BU30" s="11"/>
      <c r="BV30" s="24"/>
      <c r="BW30" s="24"/>
      <c r="BX30" s="24"/>
      <c r="BY30" s="9"/>
      <c r="BZ30" s="9"/>
      <c r="CA30" s="9"/>
      <c r="CB30" s="9"/>
      <c r="CC30" s="9"/>
      <c r="CD30" s="9"/>
      <c r="CE30" s="9"/>
      <c r="CF30" s="11"/>
      <c r="CG30" s="10"/>
      <c r="CH30" s="10"/>
      <c r="CI30" s="10"/>
      <c r="CJ30" s="10"/>
      <c r="CK30" s="21"/>
      <c r="CL30" s="20"/>
      <c r="CM30" s="10"/>
      <c r="CN30" s="11"/>
      <c r="CO30" s="24"/>
      <c r="CP30" s="24"/>
    </row>
    <row r="31" spans="1:94">
      <c r="A31" s="9"/>
      <c r="B31" s="9"/>
      <c r="C31" s="9"/>
      <c r="D31" s="9"/>
      <c r="E31" s="9"/>
      <c r="F31" s="9"/>
      <c r="G31" s="9"/>
      <c r="H31" s="11"/>
      <c r="I31" s="10"/>
      <c r="J31" s="10"/>
      <c r="K31" s="10"/>
      <c r="L31" s="10"/>
      <c r="M31" s="21"/>
      <c r="N31" s="20"/>
      <c r="O31" s="10"/>
      <c r="P31" s="11"/>
      <c r="Q31" s="24"/>
      <c r="R31" s="24"/>
      <c r="S31" s="24"/>
      <c r="T31" s="9"/>
      <c r="U31" s="9"/>
      <c r="V31" s="9"/>
      <c r="W31" s="9"/>
      <c r="X31" s="9"/>
      <c r="Y31" s="9"/>
      <c r="Z31" s="9"/>
      <c r="AA31" s="11"/>
      <c r="AB31" s="10"/>
      <c r="AC31" s="10"/>
      <c r="AD31" s="10"/>
      <c r="AE31" s="10"/>
      <c r="AF31" s="21"/>
      <c r="AG31" s="20"/>
      <c r="AH31" s="10"/>
      <c r="AI31" s="11"/>
      <c r="AJ31" s="24"/>
      <c r="AK31" s="24"/>
      <c r="AM31" s="9"/>
      <c r="AN31" s="9"/>
      <c r="AO31" s="9"/>
      <c r="AP31" s="9"/>
      <c r="AQ31" s="9"/>
      <c r="AR31" s="9"/>
      <c r="AS31" s="9"/>
      <c r="AT31" s="11"/>
      <c r="AU31" s="10"/>
      <c r="AV31" s="10"/>
      <c r="AW31" s="10"/>
      <c r="AX31" s="10"/>
      <c r="AY31" s="21"/>
      <c r="AZ31" s="20"/>
      <c r="BA31" s="10"/>
      <c r="BB31" s="11"/>
      <c r="BC31" s="24"/>
      <c r="BD31" s="24"/>
      <c r="BF31" s="9"/>
      <c r="BG31" s="9"/>
      <c r="BH31" s="9"/>
      <c r="BI31" s="9"/>
      <c r="BJ31" s="9"/>
      <c r="BK31" s="9"/>
      <c r="BL31" s="9"/>
      <c r="BM31" s="11"/>
      <c r="BN31" s="10"/>
      <c r="BO31" s="10"/>
      <c r="BP31" s="10"/>
      <c r="BQ31" s="10"/>
      <c r="BR31" s="21"/>
      <c r="BS31" s="20"/>
      <c r="BT31" s="10"/>
      <c r="BU31" s="11"/>
      <c r="BV31" s="24"/>
      <c r="BW31" s="24"/>
      <c r="BX31" s="24"/>
      <c r="BY31" s="9"/>
      <c r="BZ31" s="9"/>
      <c r="CA31" s="9"/>
      <c r="CB31" s="9"/>
      <c r="CC31" s="9"/>
      <c r="CD31" s="9"/>
      <c r="CE31" s="9"/>
      <c r="CF31" s="11"/>
      <c r="CG31" s="10"/>
      <c r="CH31" s="10"/>
      <c r="CI31" s="10"/>
      <c r="CJ31" s="10"/>
      <c r="CK31" s="21"/>
      <c r="CL31" s="20"/>
      <c r="CM31" s="10"/>
      <c r="CN31" s="11"/>
      <c r="CO31" s="24"/>
      <c r="CP31" s="24"/>
    </row>
    <row r="32" spans="1:94">
      <c r="A32" s="9"/>
      <c r="B32" s="9"/>
      <c r="C32" s="9"/>
      <c r="D32" s="9"/>
      <c r="E32" s="9"/>
      <c r="F32" s="9"/>
      <c r="G32" s="9"/>
      <c r="H32" s="11"/>
      <c r="I32" s="10"/>
      <c r="J32" s="10"/>
      <c r="K32" s="10"/>
      <c r="L32" s="10"/>
      <c r="M32" s="21"/>
      <c r="N32" s="20"/>
      <c r="O32" s="10"/>
      <c r="P32" s="11"/>
      <c r="Q32" s="24"/>
      <c r="R32" s="24"/>
      <c r="S32" s="24"/>
      <c r="T32" s="9"/>
      <c r="U32" s="9"/>
      <c r="V32" s="9"/>
      <c r="W32" s="9"/>
      <c r="X32" s="9"/>
      <c r="Y32" s="9"/>
      <c r="Z32" s="9"/>
      <c r="AA32" s="11"/>
      <c r="AB32" s="10"/>
      <c r="AC32" s="10"/>
      <c r="AD32" s="10"/>
      <c r="AE32" s="10"/>
      <c r="AF32" s="21"/>
      <c r="AG32" s="20"/>
      <c r="AH32" s="10"/>
      <c r="AI32" s="11"/>
      <c r="AJ32" s="24"/>
      <c r="AK32" s="24"/>
      <c r="AM32" s="9"/>
      <c r="AN32" s="9"/>
      <c r="AO32" s="9"/>
      <c r="AP32" s="9"/>
      <c r="AQ32" s="9"/>
      <c r="AR32" s="9"/>
      <c r="AS32" s="9"/>
      <c r="AT32" s="11"/>
      <c r="AU32" s="10"/>
      <c r="AV32" s="10"/>
      <c r="AW32" s="10"/>
      <c r="AX32" s="10"/>
      <c r="AY32" s="21"/>
      <c r="AZ32" s="20"/>
      <c r="BA32" s="10"/>
      <c r="BB32" s="11"/>
      <c r="BC32" s="24"/>
      <c r="BD32" s="24"/>
      <c r="BF32" s="9"/>
      <c r="BG32" s="9"/>
      <c r="BH32" s="9"/>
      <c r="BI32" s="9"/>
      <c r="BJ32" s="9"/>
      <c r="BK32" s="9"/>
      <c r="BL32" s="9"/>
      <c r="BM32" s="11"/>
      <c r="BN32" s="10"/>
      <c r="BO32" s="10"/>
      <c r="BP32" s="10"/>
      <c r="BQ32" s="10"/>
      <c r="BR32" s="21"/>
      <c r="BS32" s="20"/>
      <c r="BT32" s="10"/>
      <c r="BU32" s="11"/>
      <c r="BV32" s="24"/>
      <c r="BW32" s="24"/>
      <c r="BX32" s="24"/>
      <c r="BY32" s="9"/>
      <c r="BZ32" s="9"/>
      <c r="CA32" s="9"/>
      <c r="CB32" s="9"/>
      <c r="CC32" s="9"/>
      <c r="CD32" s="9"/>
      <c r="CE32" s="9"/>
      <c r="CF32" s="11"/>
      <c r="CG32" s="10"/>
      <c r="CH32" s="10"/>
      <c r="CI32" s="10"/>
      <c r="CJ32" s="10"/>
      <c r="CK32" s="21"/>
      <c r="CL32" s="20"/>
      <c r="CM32" s="10"/>
      <c r="CN32" s="11"/>
      <c r="CO32" s="24"/>
      <c r="CP32" s="24"/>
    </row>
    <row r="33" spans="1:94">
      <c r="A33" s="9"/>
      <c r="B33" s="9"/>
      <c r="C33" s="9"/>
      <c r="D33" s="9"/>
      <c r="E33" s="9"/>
      <c r="F33" s="9"/>
      <c r="G33" s="9"/>
      <c r="H33" s="11"/>
      <c r="I33" s="10"/>
      <c r="J33" s="10"/>
      <c r="K33" s="10"/>
      <c r="L33" s="10"/>
      <c r="M33" s="21"/>
      <c r="N33" s="20"/>
      <c r="O33" s="10"/>
      <c r="P33" s="11"/>
      <c r="Q33" s="24"/>
      <c r="R33" s="24"/>
      <c r="S33" s="24"/>
      <c r="T33" s="9"/>
      <c r="U33" s="9"/>
      <c r="V33" s="9"/>
      <c r="W33" s="9"/>
      <c r="X33" s="9"/>
      <c r="Y33" s="9"/>
      <c r="Z33" s="9"/>
      <c r="AA33" s="11"/>
      <c r="AB33" s="10"/>
      <c r="AC33" s="10"/>
      <c r="AD33" s="10"/>
      <c r="AE33" s="10"/>
      <c r="AF33" s="21"/>
      <c r="AG33" s="20"/>
      <c r="AH33" s="10"/>
      <c r="AI33" s="11"/>
      <c r="AJ33" s="24"/>
      <c r="AK33" s="24"/>
      <c r="AM33" s="9"/>
      <c r="AN33" s="9"/>
      <c r="AO33" s="9"/>
      <c r="AP33" s="9"/>
      <c r="AQ33" s="9"/>
      <c r="AR33" s="9"/>
      <c r="AS33" s="9"/>
      <c r="AT33" s="11"/>
      <c r="AU33" s="10"/>
      <c r="AV33" s="10"/>
      <c r="AW33" s="10"/>
      <c r="AX33" s="10"/>
      <c r="AY33" s="21"/>
      <c r="AZ33" s="20"/>
      <c r="BA33" s="10"/>
      <c r="BB33" s="11"/>
      <c r="BC33" s="24"/>
      <c r="BD33" s="24"/>
      <c r="BF33" s="9"/>
      <c r="BG33" s="9"/>
      <c r="BH33" s="9"/>
      <c r="BI33" s="9"/>
      <c r="BJ33" s="9"/>
      <c r="BK33" s="9"/>
      <c r="BL33" s="9"/>
      <c r="BM33" s="11"/>
      <c r="BN33" s="10"/>
      <c r="BO33" s="10"/>
      <c r="BP33" s="10"/>
      <c r="BQ33" s="10"/>
      <c r="BR33" s="21"/>
      <c r="BS33" s="20"/>
      <c r="BT33" s="10"/>
      <c r="BU33" s="11"/>
      <c r="BV33" s="24"/>
      <c r="BW33" s="24"/>
      <c r="BX33" s="24"/>
      <c r="BY33" s="9"/>
      <c r="BZ33" s="9"/>
      <c r="CA33" s="9"/>
      <c r="CB33" s="9"/>
      <c r="CC33" s="9"/>
      <c r="CD33" s="9"/>
      <c r="CE33" s="9"/>
      <c r="CF33" s="11"/>
      <c r="CG33" s="10"/>
      <c r="CH33" s="10"/>
      <c r="CI33" s="10"/>
      <c r="CJ33" s="10"/>
      <c r="CK33" s="21"/>
      <c r="CL33" s="20"/>
      <c r="CM33" s="10"/>
      <c r="CN33" s="11"/>
      <c r="CO33" s="24"/>
      <c r="CP33" s="24"/>
    </row>
    <row r="34" spans="1:94">
      <c r="A34" s="9"/>
      <c r="B34" s="9"/>
      <c r="C34" s="9"/>
      <c r="D34" s="9"/>
      <c r="E34" s="9"/>
      <c r="F34" s="9"/>
      <c r="G34" s="9"/>
      <c r="H34" s="11"/>
      <c r="I34" s="10"/>
      <c r="J34" s="10"/>
      <c r="K34" s="10"/>
      <c r="L34" s="10"/>
      <c r="M34" s="21"/>
      <c r="N34" s="20"/>
      <c r="O34" s="10"/>
      <c r="P34" s="11"/>
      <c r="Q34" s="24"/>
      <c r="R34" s="34"/>
      <c r="S34" s="24"/>
      <c r="T34" s="9"/>
      <c r="U34" s="9"/>
      <c r="V34" s="9"/>
      <c r="W34" s="9"/>
      <c r="X34" s="9"/>
      <c r="Y34" s="9"/>
      <c r="Z34" s="9"/>
      <c r="AA34" s="11"/>
      <c r="AB34" s="10"/>
      <c r="AC34" s="10"/>
      <c r="AD34" s="10"/>
      <c r="AE34" s="10"/>
      <c r="AF34" s="21"/>
      <c r="AG34" s="20"/>
      <c r="AH34" s="10"/>
      <c r="AI34" s="11"/>
      <c r="AJ34" s="24"/>
      <c r="AK34" s="34"/>
      <c r="AM34" s="9"/>
      <c r="AN34" s="9"/>
      <c r="AO34" s="9"/>
      <c r="AP34" s="9"/>
      <c r="AQ34" s="9"/>
      <c r="AR34" s="9"/>
      <c r="AS34" s="9"/>
      <c r="AT34" s="11"/>
      <c r="AU34" s="10"/>
      <c r="AV34" s="10"/>
      <c r="AW34" s="10"/>
      <c r="AX34" s="10"/>
      <c r="AY34" s="21"/>
      <c r="AZ34" s="20"/>
      <c r="BA34" s="10"/>
      <c r="BB34" s="11"/>
      <c r="BC34" s="24"/>
      <c r="BD34" s="34"/>
      <c r="BF34" s="9"/>
      <c r="BG34" s="9"/>
      <c r="BH34" s="9"/>
      <c r="BI34" s="9"/>
      <c r="BJ34" s="9"/>
      <c r="BK34" s="9"/>
      <c r="BL34" s="9"/>
      <c r="BM34" s="11"/>
      <c r="BN34" s="10"/>
      <c r="BO34" s="10"/>
      <c r="BP34" s="10"/>
      <c r="BQ34" s="10"/>
      <c r="BR34" s="21"/>
      <c r="BS34" s="20"/>
      <c r="BT34" s="10"/>
      <c r="BU34" s="11"/>
      <c r="BV34" s="24"/>
      <c r="BW34" s="34"/>
      <c r="BX34" s="24"/>
      <c r="BY34" s="9"/>
      <c r="BZ34" s="9"/>
      <c r="CA34" s="9"/>
      <c r="CB34" s="9"/>
      <c r="CC34" s="9"/>
      <c r="CD34" s="9"/>
      <c r="CE34" s="9"/>
      <c r="CF34" s="11"/>
      <c r="CG34" s="10"/>
      <c r="CH34" s="10"/>
      <c r="CI34" s="10"/>
      <c r="CJ34" s="10"/>
      <c r="CK34" s="21"/>
      <c r="CL34" s="20"/>
      <c r="CM34" s="10"/>
      <c r="CN34" s="11"/>
      <c r="CO34" s="24"/>
      <c r="CP34" s="34"/>
    </row>
    <row r="35" spans="1:94">
      <c r="A35" s="9"/>
      <c r="B35" s="9"/>
      <c r="C35" s="9"/>
      <c r="D35" s="9"/>
      <c r="E35" s="9"/>
      <c r="F35" s="9"/>
      <c r="G35" s="9"/>
      <c r="H35" s="11"/>
      <c r="I35" s="10"/>
      <c r="J35" s="10"/>
      <c r="K35" s="10"/>
      <c r="L35" s="10"/>
      <c r="M35" s="21"/>
      <c r="N35" s="20"/>
      <c r="O35" s="10"/>
      <c r="P35" s="11"/>
      <c r="Q35" s="24"/>
      <c r="R35" s="24"/>
      <c r="S35" s="24"/>
      <c r="T35" s="9"/>
      <c r="U35" s="9"/>
      <c r="V35" s="9"/>
      <c r="W35" s="9"/>
      <c r="X35" s="9"/>
      <c r="Y35" s="9"/>
      <c r="Z35" s="9"/>
      <c r="AA35" s="11"/>
      <c r="AB35" s="10"/>
      <c r="AC35" s="10"/>
      <c r="AD35" s="10"/>
      <c r="AE35" s="10"/>
      <c r="AF35" s="21"/>
      <c r="AG35" s="20"/>
      <c r="AH35" s="10"/>
      <c r="AI35" s="11"/>
      <c r="AJ35" s="24"/>
      <c r="AK35" s="24"/>
      <c r="AM35" s="9"/>
      <c r="AN35" s="9"/>
      <c r="AO35" s="9"/>
      <c r="AP35" s="9"/>
      <c r="AQ35" s="9"/>
      <c r="AR35" s="9"/>
      <c r="AS35" s="9"/>
      <c r="AT35" s="11"/>
      <c r="AU35" s="10"/>
      <c r="AV35" s="10"/>
      <c r="AW35" s="10"/>
      <c r="AX35" s="10"/>
      <c r="AY35" s="21"/>
      <c r="AZ35" s="20"/>
      <c r="BA35" s="10"/>
      <c r="BB35" s="11"/>
      <c r="BC35" s="24"/>
      <c r="BD35" s="24"/>
      <c r="BF35" s="9"/>
      <c r="BG35" s="9"/>
      <c r="BH35" s="9"/>
      <c r="BI35" s="9"/>
      <c r="BJ35" s="9"/>
      <c r="BK35" s="9"/>
      <c r="BL35" s="9"/>
      <c r="BM35" s="11"/>
      <c r="BN35" s="10"/>
      <c r="BO35" s="10"/>
      <c r="BP35" s="10"/>
      <c r="BQ35" s="10"/>
      <c r="BR35" s="21"/>
      <c r="BS35" s="20"/>
      <c r="BT35" s="10"/>
      <c r="BU35" s="11"/>
      <c r="BV35" s="24"/>
      <c r="BW35" s="24"/>
      <c r="BX35" s="24"/>
      <c r="BY35" s="9"/>
      <c r="BZ35" s="9"/>
      <c r="CA35" s="9"/>
      <c r="CB35" s="9"/>
      <c r="CC35" s="9"/>
      <c r="CD35" s="9"/>
      <c r="CE35" s="9"/>
      <c r="CF35" s="11"/>
      <c r="CG35" s="10"/>
      <c r="CH35" s="10"/>
      <c r="CI35" s="10"/>
      <c r="CJ35" s="10"/>
      <c r="CK35" s="21"/>
      <c r="CL35" s="20"/>
      <c r="CM35" s="10"/>
      <c r="CN35" s="11"/>
      <c r="CO35" s="24"/>
      <c r="CP35" s="24"/>
    </row>
    <row r="36" spans="12:68">
      <c r="L36" s="4"/>
      <c r="AV36" s="35"/>
      <c r="AW36" s="36"/>
      <c r="AX36" s="35"/>
      <c r="AY36" s="35"/>
      <c r="AZ36" s="35"/>
      <c r="BP36" s="4"/>
    </row>
  </sheetData>
  <mergeCells count="61">
    <mergeCell ref="I1:L1"/>
    <mergeCell ref="N1:O1"/>
    <mergeCell ref="AB1:AE1"/>
    <mergeCell ref="AG1:AH1"/>
    <mergeCell ref="AU1:AX1"/>
    <mergeCell ref="AZ1:BA1"/>
    <mergeCell ref="BN1:BQ1"/>
    <mergeCell ref="BS1:BT1"/>
    <mergeCell ref="CG1:CJ1"/>
    <mergeCell ref="CL1:CM1"/>
    <mergeCell ref="Q1:Q2"/>
    <mergeCell ref="Q3:Q4"/>
    <mergeCell ref="Q5:Q6"/>
    <mergeCell ref="Q7:Q8"/>
    <mergeCell ref="R1:R2"/>
    <mergeCell ref="R3:R4"/>
    <mergeCell ref="R5:R6"/>
    <mergeCell ref="R7:R8"/>
    <mergeCell ref="AJ1:AJ2"/>
    <mergeCell ref="AJ3:AJ4"/>
    <mergeCell ref="AJ5:AJ6"/>
    <mergeCell ref="AJ7:AJ8"/>
    <mergeCell ref="AK1:AK2"/>
    <mergeCell ref="AK3:AK4"/>
    <mergeCell ref="AK5:AK6"/>
    <mergeCell ref="AK7:AK8"/>
    <mergeCell ref="BC1:BC2"/>
    <mergeCell ref="BC3:BC4"/>
    <mergeCell ref="BC5:BC6"/>
    <mergeCell ref="BC7:BC8"/>
    <mergeCell ref="BD1:BD2"/>
    <mergeCell ref="BD3:BD4"/>
    <mergeCell ref="BD5:BD6"/>
    <mergeCell ref="BD7:BD8"/>
    <mergeCell ref="BV1:BV2"/>
    <mergeCell ref="BV3:BV4"/>
    <mergeCell ref="BV5:BV6"/>
    <mergeCell ref="BV7:BV8"/>
    <mergeCell ref="BW1:BW2"/>
    <mergeCell ref="BW3:BW4"/>
    <mergeCell ref="BW5:BW6"/>
    <mergeCell ref="BW7:BW8"/>
    <mergeCell ref="CO1:CO2"/>
    <mergeCell ref="CO3:CO4"/>
    <mergeCell ref="CO5:CO6"/>
    <mergeCell ref="CO7:CO8"/>
    <mergeCell ref="CP1:CP2"/>
    <mergeCell ref="CP3:CP4"/>
    <mergeCell ref="CP5:CP6"/>
    <mergeCell ref="CP7:CP8"/>
    <mergeCell ref="CR1:CU2"/>
    <mergeCell ref="CR3:CS4"/>
    <mergeCell ref="CT3:CU4"/>
    <mergeCell ref="CR5:CS6"/>
    <mergeCell ref="CT5:CU6"/>
    <mergeCell ref="CR11:CS12"/>
    <mergeCell ref="CT11:CU12"/>
    <mergeCell ref="CR7:CS8"/>
    <mergeCell ref="CT7:CU8"/>
    <mergeCell ref="CR9:CS10"/>
    <mergeCell ref="CT9:CU10"/>
  </mergeCells>
  <pageMargins left="0.7" right="0.7" top="0.75" bottom="0.75" header="0.3" footer="0.3"/>
  <pageSetup paperSize="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zoomScale="180" zoomScaleNormal="180" workbookViewId="0">
      <selection activeCell="C9" sqref="C9:C10"/>
    </sheetView>
  </sheetViews>
  <sheetFormatPr defaultColWidth="11" defaultRowHeight="14.4" outlineLevelCol="7"/>
  <cols>
    <col min="3" max="3" width="25.712962962963" customWidth="1"/>
  </cols>
  <sheetData>
    <row r="1" spans="1:3">
      <c r="A1" s="1" t="s">
        <v>219</v>
      </c>
      <c r="B1" s="1"/>
      <c r="C1" s="1"/>
    </row>
    <row r="2" spans="1:3">
      <c r="A2" s="1"/>
      <c r="B2" s="1"/>
      <c r="C2" s="1"/>
    </row>
    <row r="3" spans="1:8">
      <c r="A3" s="2" t="s">
        <v>9</v>
      </c>
      <c r="B3" s="2"/>
      <c r="C3" s="3">
        <f>ENERO!CZ3+FEBRERO!DB3+MARZO!DE3+ABRIL!DD3+MAYO!DC3+JUNIO!DG3+JULIO!DH3+AGOSTO!DH3+SEPTIEMBRE!DP3+OCTUBRE!DJ3+NOVIEMBRE!DL3+DICIEMBRE!CT3</f>
        <v>104945580</v>
      </c>
      <c r="D3" s="4"/>
      <c r="G3" s="4"/>
      <c r="H3" s="4"/>
    </row>
    <row r="4" spans="1:8">
      <c r="A4" s="2"/>
      <c r="B4" s="2"/>
      <c r="C4" s="3"/>
      <c r="D4" s="4"/>
      <c r="G4" s="4"/>
      <c r="H4" s="4"/>
    </row>
    <row r="5" ht="15" customHeight="1" spans="1:8">
      <c r="A5" s="2" t="s">
        <v>17</v>
      </c>
      <c r="B5" s="2"/>
      <c r="C5" s="3">
        <f>ENERO!CZ5+FEBRERO!DB5+MARZO!DE5+ABRIL!DD5+MAYO!DC5+JUNIO!DG5+JULIO!DH5+AGOSTO!DH5+SEPTIEMBRE!DP5+OCTUBRE!DJ5+NOVIEMBRE!DL5+DICIEMBRE!CT5</f>
        <v>124403502</v>
      </c>
      <c r="D5" s="4"/>
      <c r="G5" s="4"/>
      <c r="H5" s="4"/>
    </row>
    <row r="6" ht="15" customHeight="1" spans="1:8">
      <c r="A6" s="2"/>
      <c r="B6" s="2"/>
      <c r="C6" s="3"/>
      <c r="D6" s="4"/>
      <c r="G6" s="4"/>
      <c r="H6" s="4"/>
    </row>
    <row r="7" ht="15" customHeight="1" spans="1:8">
      <c r="A7" s="2" t="s">
        <v>1</v>
      </c>
      <c r="B7" s="2"/>
      <c r="C7" s="3">
        <f>ENERO!CZ7+FEBRERO!DB7+MARZO!DE7+ABRIL!DD7+MAYO!DC7+JUNIO!DG7+JULIO!DH7+AGOSTO!DH7+SEPTIEMBRE!DP7+OCTUBRE!DJ7+NOVIEMBRE!DL7+DICIEMBRE!CT7</f>
        <v>216979961</v>
      </c>
      <c r="D7" s="4"/>
      <c r="G7" s="4"/>
      <c r="H7" s="4"/>
    </row>
    <row r="8" ht="15" customHeight="1" spans="1:8">
      <c r="A8" s="2"/>
      <c r="B8" s="2"/>
      <c r="C8" s="3"/>
      <c r="D8" s="4"/>
      <c r="G8" s="4"/>
      <c r="H8" s="4"/>
    </row>
    <row r="9" ht="15" customHeight="1" spans="1:8">
      <c r="A9" s="5" t="s">
        <v>33</v>
      </c>
      <c r="B9" s="5"/>
      <c r="C9" s="6">
        <f>C5+C3</f>
        <v>229349082</v>
      </c>
      <c r="D9" s="4"/>
      <c r="G9" s="4"/>
      <c r="H9" s="4"/>
    </row>
    <row r="10" ht="15" customHeight="1" spans="1:8">
      <c r="A10" s="5"/>
      <c r="B10" s="5"/>
      <c r="C10" s="6"/>
      <c r="D10" s="4"/>
      <c r="G10" s="4"/>
      <c r="H10" s="4"/>
    </row>
    <row r="11" ht="22.8" spans="1:8">
      <c r="A11" s="7" t="s">
        <v>36</v>
      </c>
      <c r="B11" s="7"/>
      <c r="C11" s="8">
        <f>C9-C7</f>
        <v>12369121</v>
      </c>
      <c r="D11" s="4"/>
      <c r="G11" s="4"/>
      <c r="H11" s="4"/>
    </row>
    <row r="12" spans="3:8">
      <c r="C12" s="4"/>
      <c r="D12" s="4"/>
      <c r="G12" s="4"/>
      <c r="H12" s="4"/>
    </row>
  </sheetData>
  <mergeCells count="10">
    <mergeCell ref="A11:B11"/>
    <mergeCell ref="C3:C4"/>
    <mergeCell ref="C5:C6"/>
    <mergeCell ref="C7:C8"/>
    <mergeCell ref="C9:C10"/>
    <mergeCell ref="A9:B10"/>
    <mergeCell ref="A1:C2"/>
    <mergeCell ref="A3:B4"/>
    <mergeCell ref="A5:B6"/>
    <mergeCell ref="A7:B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RES ANUAL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AppU</dc:creator>
  <cp:lastModifiedBy>feder</cp:lastModifiedBy>
  <dcterms:created xsi:type="dcterms:W3CDTF">2020-10-20T00:41:00Z</dcterms:created>
  <cp:lastPrinted>2025-08-27T16:37:00Z</cp:lastPrinted>
  <dcterms:modified xsi:type="dcterms:W3CDTF">2025-11-22T22:27:21Z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81FE3CBF964B453E92CAB704C9AFC1CB_12</vt:lpwstr>
  </property>
  <property fmtid="{D5CDD505-2E9C-101B-9397-08002B2CF9AE}" pid="3" name="KSOProductBuildVer">
    <vt:lpwstr>3082-12.2.0.23155</vt:lpwstr>
  </property>
</Properties>
</file>